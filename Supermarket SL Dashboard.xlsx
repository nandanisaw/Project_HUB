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RAM SHAW\Downloads\"/>
    </mc:Choice>
  </mc:AlternateContent>
  <xr:revisionPtr revIDLastSave="0" documentId="8_{BF580A5F-C604-4FDC-B46F-9DA5E645DBC1}" xr6:coauthVersionLast="47" xr6:coauthVersionMax="47" xr10:uidLastSave="{00000000-0000-0000-0000-000000000000}"/>
  <bookViews>
    <workbookView xWindow="-108" yWindow="-108" windowWidth="23256" windowHeight="12456" activeTab="8" xr2:uid="{ACB38497-AE40-4D79-9830-A4F6A594108F}"/>
  </bookViews>
  <sheets>
    <sheet name="Sheet3" sheetId="3" r:id="rId1"/>
    <sheet name="Sheet4" sheetId="4" r:id="rId2"/>
    <sheet name="Sheet5" sheetId="5" r:id="rId3"/>
    <sheet name="Sheet7" sheetId="8" r:id="rId4"/>
    <sheet name="Sheet1" sheetId="1" r:id="rId5"/>
    <sheet name="order analysis" sheetId="7" r:id="rId6"/>
    <sheet name="retail" sheetId="9" r:id="rId7"/>
    <sheet name="Revenue analysis" sheetId="6" r:id="rId8"/>
    <sheet name="sales overview" sheetId="2" r:id="rId9"/>
  </sheets>
  <definedNames>
    <definedName name="Slicer_month">#N/A</definedName>
    <definedName name="Slicer_year">#N/A</definedName>
  </definedNames>
  <calcPr calcId="18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7" i="3" l="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2"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alcChain>
</file>

<file path=xl/sharedStrings.xml><?xml version="1.0" encoding="utf-8"?>
<sst xmlns="http://schemas.openxmlformats.org/spreadsheetml/2006/main" count="351" uniqueCount="112">
  <si>
    <t>Order no</t>
  </si>
  <si>
    <t>Order Date</t>
  </si>
  <si>
    <t>Customer Name</t>
  </si>
  <si>
    <t>Ship Date</t>
  </si>
  <si>
    <t>Retail Price</t>
  </si>
  <si>
    <t>Order Quantity</t>
  </si>
  <si>
    <t>Revenue</t>
  </si>
  <si>
    <t>Tax</t>
  </si>
  <si>
    <t>Total</t>
  </si>
  <si>
    <t>John Smith</t>
  </si>
  <si>
    <t>Jane Doe</t>
  </si>
  <si>
    <t>Michael Johnson</t>
  </si>
  <si>
    <t>Emily Brown</t>
  </si>
  <si>
    <t>David Wilson</t>
  </si>
  <si>
    <t>Lisa Taylor</t>
  </si>
  <si>
    <t>Daniel Martinez</t>
  </si>
  <si>
    <t>Sarah Anderson</t>
  </si>
  <si>
    <t>Chritopher Thomas</t>
  </si>
  <si>
    <t xml:space="preserve"> Kimberly Garcia</t>
  </si>
  <si>
    <t>william Harnadez</t>
  </si>
  <si>
    <t>Mellisa Lopez</t>
  </si>
  <si>
    <t>Richard Perez</t>
  </si>
  <si>
    <t>Jessica Gonzalwz</t>
  </si>
  <si>
    <t>Matthew Wilson</t>
  </si>
  <si>
    <t>Amanda</t>
  </si>
  <si>
    <t>James Jhonson</t>
  </si>
  <si>
    <t>Laura Brown</t>
  </si>
  <si>
    <t>Daniel Smith</t>
  </si>
  <si>
    <t>Jennifer Davis</t>
  </si>
  <si>
    <t>Michael Garcia</t>
  </si>
  <si>
    <t>Amy Hranandez</t>
  </si>
  <si>
    <t>Christopher Rodriguez</t>
  </si>
  <si>
    <t>Jessica Martinez</t>
  </si>
  <si>
    <t>Sarah Smith</t>
  </si>
  <si>
    <t>Matthew Jhonson</t>
  </si>
  <si>
    <t>Emilly Davis</t>
  </si>
  <si>
    <t>Daniel Wilson</t>
  </si>
  <si>
    <t>Jennifer Martinez</t>
  </si>
  <si>
    <t>Michael Smith</t>
  </si>
  <si>
    <t>Jessica Jhinson</t>
  </si>
  <si>
    <t>David Brown</t>
  </si>
  <si>
    <t>Saraah</t>
  </si>
  <si>
    <t>Mathew jhonson</t>
  </si>
  <si>
    <t>Jessica</t>
  </si>
  <si>
    <t>David</t>
  </si>
  <si>
    <t>Sarah Jhonson</t>
  </si>
  <si>
    <t>Matthew Garcia</t>
  </si>
  <si>
    <t>Daniel Hernadez</t>
  </si>
  <si>
    <t>Michael Martinez</t>
  </si>
  <si>
    <t>Jessica Wilson</t>
  </si>
  <si>
    <t xml:space="preserve">Sarah Gonzalez </t>
  </si>
  <si>
    <t>Emilly Brown</t>
  </si>
  <si>
    <t>Michael</t>
  </si>
  <si>
    <t xml:space="preserve">David </t>
  </si>
  <si>
    <t>Matthew Smith</t>
  </si>
  <si>
    <t>Jessica Smith</t>
  </si>
  <si>
    <t>Emilly</t>
  </si>
  <si>
    <t>Daniel</t>
  </si>
  <si>
    <t>Jennifer Hernandez</t>
  </si>
  <si>
    <t>Jennifer</t>
  </si>
  <si>
    <t>Danniel Brown</t>
  </si>
  <si>
    <t>Product Nmae</t>
  </si>
  <si>
    <t>Rice</t>
  </si>
  <si>
    <t>Flour</t>
  </si>
  <si>
    <t>Chocos</t>
  </si>
  <si>
    <t>Vegetales</t>
  </si>
  <si>
    <t>Milk</t>
  </si>
  <si>
    <t>Fruits</t>
  </si>
  <si>
    <t>Mango</t>
  </si>
  <si>
    <t>Gram</t>
  </si>
  <si>
    <t>Coffee</t>
  </si>
  <si>
    <t>Tea</t>
  </si>
  <si>
    <t>Soap</t>
  </si>
  <si>
    <t>Brush</t>
  </si>
  <si>
    <t>Pulse</t>
  </si>
  <si>
    <t xml:space="preserve">Gram Flour </t>
  </si>
  <si>
    <t>Powdwe</t>
  </si>
  <si>
    <t>Coldy</t>
  </si>
  <si>
    <t>Spices</t>
  </si>
  <si>
    <t>Oil</t>
  </si>
  <si>
    <t>Ket Rice</t>
  </si>
  <si>
    <t>Turmeric</t>
  </si>
  <si>
    <t>Salt</t>
  </si>
  <si>
    <t>Candy</t>
  </si>
  <si>
    <t>Pasty</t>
  </si>
  <si>
    <t>Wheat</t>
  </si>
  <si>
    <t>Crunch</t>
  </si>
  <si>
    <t>Vegg</t>
  </si>
  <si>
    <t>detergent</t>
  </si>
  <si>
    <t>Day</t>
  </si>
  <si>
    <t>month</t>
  </si>
  <si>
    <t>year</t>
  </si>
  <si>
    <t>Row Labels</t>
  </si>
  <si>
    <t>Monday</t>
  </si>
  <si>
    <t>Tuesday</t>
  </si>
  <si>
    <t>Wednesday</t>
  </si>
  <si>
    <t>Friday</t>
  </si>
  <si>
    <t>Saturday</t>
  </si>
  <si>
    <t>Grand Total</t>
  </si>
  <si>
    <t>January</t>
  </si>
  <si>
    <t>February</t>
  </si>
  <si>
    <t>March</t>
  </si>
  <si>
    <t>Sum of Revenue</t>
  </si>
  <si>
    <t>Jan</t>
  </si>
  <si>
    <t>Feb</t>
  </si>
  <si>
    <t>Mar</t>
  </si>
  <si>
    <t>Sum of Tax</t>
  </si>
  <si>
    <t>Sum of Order Quantity</t>
  </si>
  <si>
    <t>Sum of Total</t>
  </si>
  <si>
    <t>Sum of Order no</t>
  </si>
  <si>
    <t>Sum of Retail Price</t>
  </si>
  <si>
    <t>Count of Order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</si>
</sst>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9" fontId="0" fillId="0" borderId="0" xfId="0" applyNumberFormat="1"/>
    <xf numFmtId="0" fontId="0" fillId="0" borderId="0" xfId="0" pivotButton="1"/>
    <xf numFmtId="0" fontId="0" fillId="0" borderId="0" xfId="0" applyAlignment="1">
      <alignment horizontal="left"/>
    </xf>
    <xf numFmtId="10" fontId="0" fillId="0" borderId="0" xfId="0" applyNumberFormat="1"/>
    <xf numFmtId="14" fontId="0" fillId="0" borderId="0" xfId="0" applyNumberFormat="1" applyAlignment="1">
      <alignment horizontal="left"/>
    </xf>
  </cellXfs>
  <cellStyles count="1">
    <cellStyle name="Normal" xfId="0" builtinId="0"/>
  </cellStyles>
  <dxfs count="5">
    <dxf>
      <numFmt numFmtId="0" formatCode="General"/>
    </dxf>
    <dxf>
      <numFmt numFmtId="0" formatCode="General"/>
    </dxf>
    <dxf>
      <numFmt numFmtId="13" formatCode="0%"/>
    </dxf>
    <dxf>
      <numFmt numFmtId="164" formatCode="m/d/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Dashboard.xlsx]Sheet5!PivotTable4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Order</a:t>
            </a:r>
            <a:r>
              <a:rPr lang="en-US" sz="1600" b="1" baseline="0"/>
              <a:t> &amp; Quantity by Product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Sheet5!$A$4:$A$31</c:f>
              <c:strCache>
                <c:ptCount val="27"/>
                <c:pt idx="0">
                  <c:v>Brush</c:v>
                </c:pt>
                <c:pt idx="1">
                  <c:v>Candy</c:v>
                </c:pt>
                <c:pt idx="2">
                  <c:v>Chocos</c:v>
                </c:pt>
                <c:pt idx="3">
                  <c:v>Coffee</c:v>
                </c:pt>
                <c:pt idx="4">
                  <c:v>Coldy</c:v>
                </c:pt>
                <c:pt idx="5">
                  <c:v>Crunch</c:v>
                </c:pt>
                <c:pt idx="6">
                  <c:v>detergent</c:v>
                </c:pt>
                <c:pt idx="7">
                  <c:v>Flour</c:v>
                </c:pt>
                <c:pt idx="8">
                  <c:v>Fruits</c:v>
                </c:pt>
                <c:pt idx="9">
                  <c:v>Gram</c:v>
                </c:pt>
                <c:pt idx="10">
                  <c:v>Gram Flour </c:v>
                </c:pt>
                <c:pt idx="11">
                  <c:v>Ket Rice</c:v>
                </c:pt>
                <c:pt idx="12">
                  <c:v>Mango</c:v>
                </c:pt>
                <c:pt idx="13">
                  <c:v>Milk</c:v>
                </c:pt>
                <c:pt idx="14">
                  <c:v>Oil</c:v>
                </c:pt>
                <c:pt idx="15">
                  <c:v>Pasty</c:v>
                </c:pt>
                <c:pt idx="16">
                  <c:v>Powdwe</c:v>
                </c:pt>
                <c:pt idx="17">
                  <c:v>Pulse</c:v>
                </c:pt>
                <c:pt idx="18">
                  <c:v>Rice</c:v>
                </c:pt>
                <c:pt idx="19">
                  <c:v>Salt</c:v>
                </c:pt>
                <c:pt idx="20">
                  <c:v>Soap</c:v>
                </c:pt>
                <c:pt idx="21">
                  <c:v>Spices</c:v>
                </c:pt>
                <c:pt idx="22">
                  <c:v>Tea</c:v>
                </c:pt>
                <c:pt idx="23">
                  <c:v>Turmeric</c:v>
                </c:pt>
                <c:pt idx="24">
                  <c:v>Vegetales</c:v>
                </c:pt>
                <c:pt idx="25">
                  <c:v>Vegg</c:v>
                </c:pt>
                <c:pt idx="26">
                  <c:v>Wheat</c:v>
                </c:pt>
              </c:strCache>
            </c:strRef>
          </c:cat>
          <c:val>
            <c:numRef>
              <c:f>Sheet5!$B$4:$B$31</c:f>
              <c:numCache>
                <c:formatCode>General</c:formatCode>
                <c:ptCount val="27"/>
                <c:pt idx="0">
                  <c:v>6</c:v>
                </c:pt>
                <c:pt idx="1">
                  <c:v>6</c:v>
                </c:pt>
                <c:pt idx="2">
                  <c:v>9</c:v>
                </c:pt>
                <c:pt idx="3">
                  <c:v>6</c:v>
                </c:pt>
                <c:pt idx="4">
                  <c:v>6</c:v>
                </c:pt>
                <c:pt idx="5">
                  <c:v>6</c:v>
                </c:pt>
                <c:pt idx="6">
                  <c:v>3</c:v>
                </c:pt>
                <c:pt idx="7">
                  <c:v>9</c:v>
                </c:pt>
                <c:pt idx="8">
                  <c:v>3</c:v>
                </c:pt>
                <c:pt idx="9">
                  <c:v>6</c:v>
                </c:pt>
                <c:pt idx="10">
                  <c:v>8</c:v>
                </c:pt>
                <c:pt idx="11">
                  <c:v>5</c:v>
                </c:pt>
                <c:pt idx="12">
                  <c:v>8</c:v>
                </c:pt>
                <c:pt idx="13">
                  <c:v>7</c:v>
                </c:pt>
                <c:pt idx="14">
                  <c:v>7</c:v>
                </c:pt>
                <c:pt idx="15">
                  <c:v>6</c:v>
                </c:pt>
                <c:pt idx="16">
                  <c:v>4</c:v>
                </c:pt>
                <c:pt idx="17">
                  <c:v>2</c:v>
                </c:pt>
                <c:pt idx="18">
                  <c:v>15</c:v>
                </c:pt>
                <c:pt idx="19">
                  <c:v>4</c:v>
                </c:pt>
                <c:pt idx="20">
                  <c:v>7</c:v>
                </c:pt>
                <c:pt idx="21">
                  <c:v>12</c:v>
                </c:pt>
                <c:pt idx="22">
                  <c:v>4</c:v>
                </c:pt>
                <c:pt idx="23">
                  <c:v>6</c:v>
                </c:pt>
                <c:pt idx="24">
                  <c:v>6</c:v>
                </c:pt>
                <c:pt idx="25">
                  <c:v>2</c:v>
                </c:pt>
                <c:pt idx="26">
                  <c:v>6</c:v>
                </c:pt>
              </c:numCache>
            </c:numRef>
          </c:val>
          <c:extLst>
            <c:ext xmlns:c16="http://schemas.microsoft.com/office/drawing/2014/chart" uri="{C3380CC4-5D6E-409C-BE32-E72D297353CC}">
              <c16:uniqueId val="{00000000-74BD-4057-BC76-2E8539C90A62}"/>
            </c:ext>
          </c:extLst>
        </c:ser>
        <c:dLbls>
          <c:dLblPos val="outEnd"/>
          <c:showLegendKey val="0"/>
          <c:showVal val="1"/>
          <c:showCatName val="0"/>
          <c:showSerName val="0"/>
          <c:showPercent val="0"/>
          <c:showBubbleSize val="0"/>
        </c:dLbls>
        <c:gapWidth val="182"/>
        <c:axId val="1280607008"/>
        <c:axId val="1287869440"/>
      </c:barChart>
      <c:catAx>
        <c:axId val="1280607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69440"/>
        <c:crosses val="autoZero"/>
        <c:auto val="1"/>
        <c:lblAlgn val="ctr"/>
        <c:lblOffset val="100"/>
        <c:noMultiLvlLbl val="0"/>
      </c:catAx>
      <c:valAx>
        <c:axId val="1287869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0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Number</a:t>
            </a:r>
            <a:r>
              <a:rPr lang="en-US" sz="1600" b="1" baseline="0"/>
              <a:t> of Order by Date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Sheet5!$E$17</c:f>
              <c:strCache>
                <c:ptCount val="1"/>
                <c:pt idx="0">
                  <c:v>Total</c:v>
                </c:pt>
              </c:strCache>
            </c:strRef>
          </c:tx>
          <c:spPr>
            <a:ln w="28575" cap="rnd">
              <a:solidFill>
                <a:schemeClr val="accent1"/>
              </a:solidFill>
              <a:round/>
            </a:ln>
            <a:effectLst/>
          </c:spPr>
          <c:marker>
            <c:symbol val="none"/>
          </c:marker>
          <c:cat>
            <c:strRef>
              <c:f>Sheet5!$D$18:$D$88</c:f>
              <c:strCache>
                <c:ptCount val="70"/>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pt idx="31">
                  <c:v>01-02-2024</c:v>
                </c:pt>
                <c:pt idx="32">
                  <c:v>02-02-2024</c:v>
                </c:pt>
                <c:pt idx="33">
                  <c:v>03-02-2024</c:v>
                </c:pt>
                <c:pt idx="34">
                  <c:v>04-02-2024</c:v>
                </c:pt>
                <c:pt idx="35">
                  <c:v>05-02-2024</c:v>
                </c:pt>
                <c:pt idx="36">
                  <c:v>06-02-2024</c:v>
                </c:pt>
                <c:pt idx="37">
                  <c:v>07-02-2024</c:v>
                </c:pt>
                <c:pt idx="38">
                  <c:v>08-02-2024</c:v>
                </c:pt>
                <c:pt idx="39">
                  <c:v>09-02-2024</c:v>
                </c:pt>
                <c:pt idx="40">
                  <c:v>10-02-2024</c:v>
                </c:pt>
                <c:pt idx="41">
                  <c:v>11-02-2024</c:v>
                </c:pt>
                <c:pt idx="42">
                  <c:v>12-02-2024</c:v>
                </c:pt>
                <c:pt idx="43">
                  <c:v>13-02-2024</c:v>
                </c:pt>
                <c:pt idx="44">
                  <c:v>14-02-2024</c:v>
                </c:pt>
                <c:pt idx="45">
                  <c:v>15-02-2024</c:v>
                </c:pt>
                <c:pt idx="46">
                  <c:v>16-02-2024</c:v>
                </c:pt>
                <c:pt idx="47">
                  <c:v>17-02-2024</c:v>
                </c:pt>
                <c:pt idx="48">
                  <c:v>18-02-2024</c:v>
                </c:pt>
                <c:pt idx="49">
                  <c:v>19-02-2024</c:v>
                </c:pt>
                <c:pt idx="50">
                  <c:v>20-02-2024</c:v>
                </c:pt>
                <c:pt idx="51">
                  <c:v>21-02-2024</c:v>
                </c:pt>
                <c:pt idx="52">
                  <c:v>22-02-2024</c:v>
                </c:pt>
                <c:pt idx="53">
                  <c:v>23-02-2024</c:v>
                </c:pt>
                <c:pt idx="54">
                  <c:v>24-02-2024</c:v>
                </c:pt>
                <c:pt idx="55">
                  <c:v>25-02-2024</c:v>
                </c:pt>
                <c:pt idx="56">
                  <c:v>26-02-2024</c:v>
                </c:pt>
                <c:pt idx="57">
                  <c:v>27-02-2024</c:v>
                </c:pt>
                <c:pt idx="58">
                  <c:v>28-02-2024</c:v>
                </c:pt>
                <c:pt idx="59">
                  <c:v>29-02-2024</c:v>
                </c:pt>
                <c:pt idx="60">
                  <c:v>01-03-2024</c:v>
                </c:pt>
                <c:pt idx="61">
                  <c:v>02-03-2024</c:v>
                </c:pt>
                <c:pt idx="62">
                  <c:v>03-03-2024</c:v>
                </c:pt>
                <c:pt idx="63">
                  <c:v>04-03-2024</c:v>
                </c:pt>
                <c:pt idx="64">
                  <c:v>05-03-2024</c:v>
                </c:pt>
                <c:pt idx="65">
                  <c:v>06-03-2024</c:v>
                </c:pt>
                <c:pt idx="66">
                  <c:v>07-03-2024</c:v>
                </c:pt>
                <c:pt idx="67">
                  <c:v>08-03-2024</c:v>
                </c:pt>
                <c:pt idx="68">
                  <c:v>09-03-2024</c:v>
                </c:pt>
                <c:pt idx="69">
                  <c:v>10-03-2024</c:v>
                </c:pt>
              </c:strCache>
            </c:strRef>
          </c:cat>
          <c:val>
            <c:numRef>
              <c:f>Sheet5!$E$18:$E$88</c:f>
              <c:numCache>
                <c:formatCode>General</c:formatCode>
                <c:ptCount val="70"/>
                <c:pt idx="0">
                  <c:v>1001</c:v>
                </c:pt>
                <c:pt idx="1">
                  <c:v>1002</c:v>
                </c:pt>
                <c:pt idx="2">
                  <c:v>1003</c:v>
                </c:pt>
                <c:pt idx="3">
                  <c:v>1004</c:v>
                </c:pt>
                <c:pt idx="4">
                  <c:v>1005</c:v>
                </c:pt>
                <c:pt idx="5">
                  <c:v>1006</c:v>
                </c:pt>
                <c:pt idx="6">
                  <c:v>1007</c:v>
                </c:pt>
                <c:pt idx="7">
                  <c:v>1008</c:v>
                </c:pt>
                <c:pt idx="8">
                  <c:v>1009</c:v>
                </c:pt>
                <c:pt idx="9">
                  <c:v>1010</c:v>
                </c:pt>
                <c:pt idx="10">
                  <c:v>1011</c:v>
                </c:pt>
                <c:pt idx="11">
                  <c:v>1012</c:v>
                </c:pt>
                <c:pt idx="12">
                  <c:v>1013</c:v>
                </c:pt>
                <c:pt idx="13">
                  <c:v>1014</c:v>
                </c:pt>
                <c:pt idx="14">
                  <c:v>1015</c:v>
                </c:pt>
                <c:pt idx="15">
                  <c:v>1016</c:v>
                </c:pt>
                <c:pt idx="16">
                  <c:v>1017</c:v>
                </c:pt>
                <c:pt idx="17">
                  <c:v>1018</c:v>
                </c:pt>
                <c:pt idx="18">
                  <c:v>1019</c:v>
                </c:pt>
                <c:pt idx="19">
                  <c:v>1020</c:v>
                </c:pt>
                <c:pt idx="20">
                  <c:v>1021</c:v>
                </c:pt>
                <c:pt idx="21">
                  <c:v>1022</c:v>
                </c:pt>
                <c:pt idx="22">
                  <c:v>1023</c:v>
                </c:pt>
                <c:pt idx="23">
                  <c:v>1024</c:v>
                </c:pt>
                <c:pt idx="24">
                  <c:v>1025</c:v>
                </c:pt>
                <c:pt idx="25">
                  <c:v>1026</c:v>
                </c:pt>
                <c:pt idx="26">
                  <c:v>1027</c:v>
                </c:pt>
                <c:pt idx="27">
                  <c:v>1028</c:v>
                </c:pt>
                <c:pt idx="28">
                  <c:v>1029</c:v>
                </c:pt>
                <c:pt idx="29">
                  <c:v>1030</c:v>
                </c:pt>
                <c:pt idx="30">
                  <c:v>1031</c:v>
                </c:pt>
                <c:pt idx="31">
                  <c:v>1032</c:v>
                </c:pt>
                <c:pt idx="32">
                  <c:v>1033</c:v>
                </c:pt>
                <c:pt idx="33">
                  <c:v>1034</c:v>
                </c:pt>
                <c:pt idx="34">
                  <c:v>1035</c:v>
                </c:pt>
                <c:pt idx="35">
                  <c:v>1036</c:v>
                </c:pt>
                <c:pt idx="36">
                  <c:v>1037</c:v>
                </c:pt>
                <c:pt idx="37">
                  <c:v>1038</c:v>
                </c:pt>
                <c:pt idx="38">
                  <c:v>1039</c:v>
                </c:pt>
                <c:pt idx="39">
                  <c:v>1040</c:v>
                </c:pt>
                <c:pt idx="40">
                  <c:v>1041</c:v>
                </c:pt>
                <c:pt idx="41">
                  <c:v>1042</c:v>
                </c:pt>
                <c:pt idx="42">
                  <c:v>1043</c:v>
                </c:pt>
                <c:pt idx="43">
                  <c:v>1044</c:v>
                </c:pt>
                <c:pt idx="44">
                  <c:v>1045</c:v>
                </c:pt>
                <c:pt idx="45">
                  <c:v>1046</c:v>
                </c:pt>
                <c:pt idx="46">
                  <c:v>1047</c:v>
                </c:pt>
                <c:pt idx="47">
                  <c:v>1048</c:v>
                </c:pt>
                <c:pt idx="48">
                  <c:v>1049</c:v>
                </c:pt>
                <c:pt idx="49">
                  <c:v>1050</c:v>
                </c:pt>
                <c:pt idx="50">
                  <c:v>1051</c:v>
                </c:pt>
                <c:pt idx="51">
                  <c:v>1052</c:v>
                </c:pt>
                <c:pt idx="52">
                  <c:v>1053</c:v>
                </c:pt>
                <c:pt idx="53">
                  <c:v>1054</c:v>
                </c:pt>
                <c:pt idx="54">
                  <c:v>1055</c:v>
                </c:pt>
                <c:pt idx="55">
                  <c:v>1056</c:v>
                </c:pt>
                <c:pt idx="56">
                  <c:v>1057</c:v>
                </c:pt>
                <c:pt idx="57">
                  <c:v>1058</c:v>
                </c:pt>
                <c:pt idx="58">
                  <c:v>1059</c:v>
                </c:pt>
                <c:pt idx="59">
                  <c:v>1060</c:v>
                </c:pt>
                <c:pt idx="60">
                  <c:v>1061</c:v>
                </c:pt>
                <c:pt idx="61">
                  <c:v>1062</c:v>
                </c:pt>
                <c:pt idx="62">
                  <c:v>1063</c:v>
                </c:pt>
                <c:pt idx="63">
                  <c:v>1064</c:v>
                </c:pt>
                <c:pt idx="64">
                  <c:v>1065</c:v>
                </c:pt>
                <c:pt idx="65">
                  <c:v>1066</c:v>
                </c:pt>
                <c:pt idx="66">
                  <c:v>1067</c:v>
                </c:pt>
                <c:pt idx="67">
                  <c:v>1068</c:v>
                </c:pt>
                <c:pt idx="68">
                  <c:v>1069</c:v>
                </c:pt>
                <c:pt idx="69">
                  <c:v>1070</c:v>
                </c:pt>
              </c:numCache>
            </c:numRef>
          </c:val>
          <c:smooth val="0"/>
          <c:extLst>
            <c:ext xmlns:c16="http://schemas.microsoft.com/office/drawing/2014/chart" uri="{C3380CC4-5D6E-409C-BE32-E72D297353CC}">
              <c16:uniqueId val="{00000000-F36F-4131-85CA-E84392BD6195}"/>
            </c:ext>
          </c:extLst>
        </c:ser>
        <c:dLbls>
          <c:showLegendKey val="0"/>
          <c:showVal val="0"/>
          <c:showCatName val="0"/>
          <c:showSerName val="0"/>
          <c:showPercent val="0"/>
          <c:showBubbleSize val="0"/>
        </c:dLbls>
        <c:smooth val="0"/>
        <c:axId val="1280610368"/>
        <c:axId val="1287874896"/>
      </c:lineChart>
      <c:catAx>
        <c:axId val="128061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74896"/>
        <c:crosses val="autoZero"/>
        <c:auto val="1"/>
        <c:lblAlgn val="ctr"/>
        <c:lblOffset val="100"/>
        <c:noMultiLvlLbl val="0"/>
      </c:catAx>
      <c:valAx>
        <c:axId val="128787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1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Dashboard.xlsx]Sheet5!PivotTable6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Customer by Revenue</a:t>
            </a:r>
            <a:endParaRPr lang="en-US" sz="1600" b="1"/>
          </a:p>
        </c:rich>
      </c:tx>
      <c:layout>
        <c:manualLayout>
          <c:xMode val="edge"/>
          <c:yMode val="edge"/>
          <c:x val="0.24320987654320986"/>
          <c:y val="3.19914829923368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Sheet5!$A$34:$A$44</c:f>
              <c:strCache>
                <c:ptCount val="10"/>
                <c:pt idx="0">
                  <c:v> Kimberly Garcia</c:v>
                </c:pt>
                <c:pt idx="1">
                  <c:v>David</c:v>
                </c:pt>
                <c:pt idx="2">
                  <c:v>David </c:v>
                </c:pt>
                <c:pt idx="3">
                  <c:v>David Wilson</c:v>
                </c:pt>
                <c:pt idx="4">
                  <c:v>Jennifer Davis</c:v>
                </c:pt>
                <c:pt idx="5">
                  <c:v>Matthew Garcia</c:v>
                </c:pt>
                <c:pt idx="6">
                  <c:v>Michael</c:v>
                </c:pt>
                <c:pt idx="7">
                  <c:v>Michael Johnson</c:v>
                </c:pt>
                <c:pt idx="8">
                  <c:v>Michael Martinez</c:v>
                </c:pt>
                <c:pt idx="9">
                  <c:v>Sarah Gonzalez </c:v>
                </c:pt>
              </c:strCache>
            </c:strRef>
          </c:cat>
          <c:val>
            <c:numRef>
              <c:f>Sheet5!$B$34:$B$44</c:f>
              <c:numCache>
                <c:formatCode>General</c:formatCode>
                <c:ptCount val="10"/>
                <c:pt idx="0">
                  <c:v>999.95</c:v>
                </c:pt>
                <c:pt idx="1">
                  <c:v>829.86</c:v>
                </c:pt>
                <c:pt idx="2">
                  <c:v>599.96</c:v>
                </c:pt>
                <c:pt idx="3">
                  <c:v>299.94</c:v>
                </c:pt>
                <c:pt idx="4">
                  <c:v>499.94000000000005</c:v>
                </c:pt>
                <c:pt idx="5">
                  <c:v>299.96000000000004</c:v>
                </c:pt>
                <c:pt idx="6">
                  <c:v>389.97</c:v>
                </c:pt>
                <c:pt idx="7">
                  <c:v>299.96999999999997</c:v>
                </c:pt>
                <c:pt idx="8">
                  <c:v>549.93000000000006</c:v>
                </c:pt>
                <c:pt idx="9">
                  <c:v>699.95</c:v>
                </c:pt>
              </c:numCache>
            </c:numRef>
          </c:val>
          <c:extLst>
            <c:ext xmlns:c16="http://schemas.microsoft.com/office/drawing/2014/chart" uri="{C3380CC4-5D6E-409C-BE32-E72D297353CC}">
              <c16:uniqueId val="{00000000-EA71-4E23-B542-1AB0114D3C74}"/>
            </c:ext>
          </c:extLst>
        </c:ser>
        <c:dLbls>
          <c:dLblPos val="outEnd"/>
          <c:showLegendKey val="0"/>
          <c:showVal val="1"/>
          <c:showCatName val="0"/>
          <c:showSerName val="0"/>
          <c:showPercent val="0"/>
          <c:showBubbleSize val="0"/>
        </c:dLbls>
        <c:gapWidth val="182"/>
        <c:axId val="861254224"/>
        <c:axId val="1287865472"/>
      </c:barChart>
      <c:catAx>
        <c:axId val="86125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65472"/>
        <c:crosses val="autoZero"/>
        <c:auto val="1"/>
        <c:lblAlgn val="ctr"/>
        <c:lblOffset val="100"/>
        <c:noMultiLvlLbl val="0"/>
      </c:catAx>
      <c:valAx>
        <c:axId val="1287865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25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Dashboard.xlsx]Sheet5!PivotTable7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Order</a:t>
            </a:r>
            <a:r>
              <a:rPr lang="en-IN" sz="1600" b="1" baseline="0"/>
              <a:t> Per Customer</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31643122531761"/>
          <c:y val="0.15400219298245615"/>
          <c:w val="0.86366996333250556"/>
          <c:h val="0.44578671087166738"/>
        </c:manualLayout>
      </c:layout>
      <c:bar3DChart>
        <c:barDir val="col"/>
        <c:grouping val="clustered"/>
        <c:varyColors val="0"/>
        <c:ser>
          <c:idx val="0"/>
          <c:order val="0"/>
          <c:tx>
            <c:strRef>
              <c:f>Sheet5!$B$46</c:f>
              <c:strCache>
                <c:ptCount val="1"/>
                <c:pt idx="0">
                  <c:v>Total</c:v>
                </c:pt>
              </c:strCache>
            </c:strRef>
          </c:tx>
          <c:spPr>
            <a:solidFill>
              <a:schemeClr val="accent1"/>
            </a:solidFill>
            <a:ln>
              <a:noFill/>
            </a:ln>
            <a:effectLst/>
            <a:sp3d/>
          </c:spPr>
          <c:invertIfNegative val="0"/>
          <c:cat>
            <c:strRef>
              <c:f>Sheet5!$A$47:$A$99</c:f>
              <c:strCache>
                <c:ptCount val="52"/>
                <c:pt idx="0">
                  <c:v> Kimberly Garcia</c:v>
                </c:pt>
                <c:pt idx="1">
                  <c:v>Amanda</c:v>
                </c:pt>
                <c:pt idx="2">
                  <c:v>Amy Hranandez</c:v>
                </c:pt>
                <c:pt idx="3">
                  <c:v>Christopher Rodriguez</c:v>
                </c:pt>
                <c:pt idx="4">
                  <c:v>Chritopher Thomas</c:v>
                </c:pt>
                <c:pt idx="5">
                  <c:v>Daniel</c:v>
                </c:pt>
                <c:pt idx="6">
                  <c:v>Daniel Hernadez</c:v>
                </c:pt>
                <c:pt idx="7">
                  <c:v>Daniel Martinez</c:v>
                </c:pt>
                <c:pt idx="8">
                  <c:v>Daniel Smith</c:v>
                </c:pt>
                <c:pt idx="9">
                  <c:v>Daniel Wilson</c:v>
                </c:pt>
                <c:pt idx="10">
                  <c:v>Danniel Brown</c:v>
                </c:pt>
                <c:pt idx="11">
                  <c:v>David</c:v>
                </c:pt>
                <c:pt idx="12">
                  <c:v>David </c:v>
                </c:pt>
                <c:pt idx="13">
                  <c:v>David Brown</c:v>
                </c:pt>
                <c:pt idx="14">
                  <c:v>David Wilson</c:v>
                </c:pt>
                <c:pt idx="15">
                  <c:v>Emilly</c:v>
                </c:pt>
                <c:pt idx="16">
                  <c:v>Emilly Brown</c:v>
                </c:pt>
                <c:pt idx="17">
                  <c:v>Emilly Davis</c:v>
                </c:pt>
                <c:pt idx="18">
                  <c:v>Emily Brown</c:v>
                </c:pt>
                <c:pt idx="19">
                  <c:v>James Jhonson</c:v>
                </c:pt>
                <c:pt idx="20">
                  <c:v>Jane Doe</c:v>
                </c:pt>
                <c:pt idx="21">
                  <c:v>Jennifer</c:v>
                </c:pt>
                <c:pt idx="22">
                  <c:v>Jennifer Davis</c:v>
                </c:pt>
                <c:pt idx="23">
                  <c:v>Jennifer Hernandez</c:v>
                </c:pt>
                <c:pt idx="24">
                  <c:v>Jennifer Martinez</c:v>
                </c:pt>
                <c:pt idx="25">
                  <c:v>Jessica</c:v>
                </c:pt>
                <c:pt idx="26">
                  <c:v>Jessica Gonzalwz</c:v>
                </c:pt>
                <c:pt idx="27">
                  <c:v>Jessica Jhinson</c:v>
                </c:pt>
                <c:pt idx="28">
                  <c:v>Jessica Martinez</c:v>
                </c:pt>
                <c:pt idx="29">
                  <c:v>Jessica Smith</c:v>
                </c:pt>
                <c:pt idx="30">
                  <c:v>Jessica Wilson</c:v>
                </c:pt>
                <c:pt idx="31">
                  <c:v>John Smith</c:v>
                </c:pt>
                <c:pt idx="32">
                  <c:v>Laura Brown</c:v>
                </c:pt>
                <c:pt idx="33">
                  <c:v>Lisa Taylor</c:v>
                </c:pt>
                <c:pt idx="34">
                  <c:v>Mathew jhonson</c:v>
                </c:pt>
                <c:pt idx="35">
                  <c:v>Matthew Garcia</c:v>
                </c:pt>
                <c:pt idx="36">
                  <c:v>Matthew Jhonson</c:v>
                </c:pt>
                <c:pt idx="37">
                  <c:v>Matthew Smith</c:v>
                </c:pt>
                <c:pt idx="38">
                  <c:v>Matthew Wilson</c:v>
                </c:pt>
                <c:pt idx="39">
                  <c:v>Mellisa Lopez</c:v>
                </c:pt>
                <c:pt idx="40">
                  <c:v>Michael</c:v>
                </c:pt>
                <c:pt idx="41">
                  <c:v>Michael Garcia</c:v>
                </c:pt>
                <c:pt idx="42">
                  <c:v>Michael Johnson</c:v>
                </c:pt>
                <c:pt idx="43">
                  <c:v>Michael Martinez</c:v>
                </c:pt>
                <c:pt idx="44">
                  <c:v>Michael Smith</c:v>
                </c:pt>
                <c:pt idx="45">
                  <c:v>Richard Perez</c:v>
                </c:pt>
                <c:pt idx="46">
                  <c:v>Saraah</c:v>
                </c:pt>
                <c:pt idx="47">
                  <c:v>Sarah Anderson</c:v>
                </c:pt>
                <c:pt idx="48">
                  <c:v>Sarah Gonzalez </c:v>
                </c:pt>
                <c:pt idx="49">
                  <c:v>Sarah Jhonson</c:v>
                </c:pt>
                <c:pt idx="50">
                  <c:v>Sarah Smith</c:v>
                </c:pt>
                <c:pt idx="51">
                  <c:v>william Harnadez</c:v>
                </c:pt>
              </c:strCache>
            </c:strRef>
          </c:cat>
          <c:val>
            <c:numRef>
              <c:f>Sheet5!$B$47:$B$99</c:f>
              <c:numCache>
                <c:formatCode>General</c:formatCode>
                <c:ptCount val="52"/>
                <c:pt idx="0">
                  <c:v>1010</c:v>
                </c:pt>
                <c:pt idx="1">
                  <c:v>1016</c:v>
                </c:pt>
                <c:pt idx="2">
                  <c:v>1022</c:v>
                </c:pt>
                <c:pt idx="3">
                  <c:v>1023</c:v>
                </c:pt>
                <c:pt idx="4">
                  <c:v>1009</c:v>
                </c:pt>
                <c:pt idx="5">
                  <c:v>1060</c:v>
                </c:pt>
                <c:pt idx="6">
                  <c:v>2089</c:v>
                </c:pt>
                <c:pt idx="7">
                  <c:v>1007</c:v>
                </c:pt>
                <c:pt idx="8">
                  <c:v>1019</c:v>
                </c:pt>
                <c:pt idx="9">
                  <c:v>1029</c:v>
                </c:pt>
                <c:pt idx="10">
                  <c:v>1070</c:v>
                </c:pt>
                <c:pt idx="11">
                  <c:v>4202</c:v>
                </c:pt>
                <c:pt idx="12">
                  <c:v>1052</c:v>
                </c:pt>
                <c:pt idx="13">
                  <c:v>1033</c:v>
                </c:pt>
                <c:pt idx="14">
                  <c:v>2030</c:v>
                </c:pt>
                <c:pt idx="15">
                  <c:v>2127</c:v>
                </c:pt>
                <c:pt idx="16">
                  <c:v>1047</c:v>
                </c:pt>
                <c:pt idx="17">
                  <c:v>1028</c:v>
                </c:pt>
                <c:pt idx="18">
                  <c:v>2044</c:v>
                </c:pt>
                <c:pt idx="19">
                  <c:v>1017</c:v>
                </c:pt>
                <c:pt idx="20">
                  <c:v>1002</c:v>
                </c:pt>
                <c:pt idx="21">
                  <c:v>1069</c:v>
                </c:pt>
                <c:pt idx="22">
                  <c:v>4172</c:v>
                </c:pt>
                <c:pt idx="23">
                  <c:v>1066</c:v>
                </c:pt>
                <c:pt idx="24">
                  <c:v>1030</c:v>
                </c:pt>
                <c:pt idx="25">
                  <c:v>2099</c:v>
                </c:pt>
                <c:pt idx="26">
                  <c:v>1014</c:v>
                </c:pt>
                <c:pt idx="27">
                  <c:v>1032</c:v>
                </c:pt>
                <c:pt idx="28">
                  <c:v>1024</c:v>
                </c:pt>
                <c:pt idx="29">
                  <c:v>1055</c:v>
                </c:pt>
                <c:pt idx="30">
                  <c:v>2095</c:v>
                </c:pt>
                <c:pt idx="31">
                  <c:v>1001</c:v>
                </c:pt>
                <c:pt idx="32">
                  <c:v>1018</c:v>
                </c:pt>
                <c:pt idx="33">
                  <c:v>1006</c:v>
                </c:pt>
                <c:pt idx="34">
                  <c:v>1035</c:v>
                </c:pt>
                <c:pt idx="35">
                  <c:v>2097</c:v>
                </c:pt>
                <c:pt idx="36">
                  <c:v>1027</c:v>
                </c:pt>
                <c:pt idx="37">
                  <c:v>1054</c:v>
                </c:pt>
                <c:pt idx="38">
                  <c:v>1015</c:v>
                </c:pt>
                <c:pt idx="39">
                  <c:v>1012</c:v>
                </c:pt>
                <c:pt idx="40">
                  <c:v>1050</c:v>
                </c:pt>
                <c:pt idx="41">
                  <c:v>1021</c:v>
                </c:pt>
                <c:pt idx="42">
                  <c:v>1003</c:v>
                </c:pt>
                <c:pt idx="43">
                  <c:v>2105</c:v>
                </c:pt>
                <c:pt idx="44">
                  <c:v>1031</c:v>
                </c:pt>
                <c:pt idx="45">
                  <c:v>1013</c:v>
                </c:pt>
                <c:pt idx="46">
                  <c:v>1034</c:v>
                </c:pt>
                <c:pt idx="47">
                  <c:v>1008</c:v>
                </c:pt>
                <c:pt idx="48">
                  <c:v>4231</c:v>
                </c:pt>
                <c:pt idx="49">
                  <c:v>2095</c:v>
                </c:pt>
                <c:pt idx="50">
                  <c:v>1026</c:v>
                </c:pt>
                <c:pt idx="51">
                  <c:v>1011</c:v>
                </c:pt>
              </c:numCache>
            </c:numRef>
          </c:val>
          <c:extLst>
            <c:ext xmlns:c16="http://schemas.microsoft.com/office/drawing/2014/chart" uri="{C3380CC4-5D6E-409C-BE32-E72D297353CC}">
              <c16:uniqueId val="{00000000-11C3-4275-803F-A10557FC4314}"/>
            </c:ext>
          </c:extLst>
        </c:ser>
        <c:dLbls>
          <c:showLegendKey val="0"/>
          <c:showVal val="0"/>
          <c:showCatName val="0"/>
          <c:showSerName val="0"/>
          <c:showPercent val="0"/>
          <c:showBubbleSize val="0"/>
        </c:dLbls>
        <c:gapWidth val="150"/>
        <c:shape val="box"/>
        <c:axId val="855649744"/>
        <c:axId val="572473600"/>
        <c:axId val="0"/>
      </c:bar3DChart>
      <c:catAx>
        <c:axId val="855649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72473600"/>
        <c:crosses val="autoZero"/>
        <c:auto val="1"/>
        <c:lblAlgn val="ctr"/>
        <c:lblOffset val="100"/>
        <c:noMultiLvlLbl val="0"/>
      </c:catAx>
      <c:valAx>
        <c:axId val="57247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4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Dashboard.xlsx]Sheet7!PivotTable2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Total/Tax/Revenue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Sheet7!$A$6</c:f>
              <c:strCache>
                <c:ptCount val="1"/>
                <c:pt idx="0">
                  <c:v>Sum of Tax</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Sheet7!$A$7</c:f>
              <c:strCache>
                <c:ptCount val="1"/>
                <c:pt idx="0">
                  <c:v>Total</c:v>
                </c:pt>
              </c:strCache>
            </c:strRef>
          </c:cat>
          <c:val>
            <c:numRef>
              <c:f>Sheet7!$A$7</c:f>
              <c:numCache>
                <c:formatCode>General</c:formatCode>
                <c:ptCount val="1"/>
                <c:pt idx="0">
                  <c:v>1157.8310000000006</c:v>
                </c:pt>
              </c:numCache>
            </c:numRef>
          </c:val>
          <c:extLst>
            <c:ext xmlns:c16="http://schemas.microsoft.com/office/drawing/2014/chart" uri="{C3380CC4-5D6E-409C-BE32-E72D297353CC}">
              <c16:uniqueId val="{00000000-427B-45C5-A84C-FC2C0830886A}"/>
            </c:ext>
          </c:extLst>
        </c:ser>
        <c:ser>
          <c:idx val="1"/>
          <c:order val="1"/>
          <c:tx>
            <c:strRef>
              <c:f>Sheet7!$B$6</c:f>
              <c:strCache>
                <c:ptCount val="1"/>
                <c:pt idx="0">
                  <c:v>Sum of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Sheet7!$A$7</c:f>
              <c:strCache>
                <c:ptCount val="1"/>
                <c:pt idx="0">
                  <c:v>Total</c:v>
                </c:pt>
              </c:strCache>
            </c:strRef>
          </c:cat>
          <c:val>
            <c:numRef>
              <c:f>Sheet7!$B$7</c:f>
              <c:numCache>
                <c:formatCode>General</c:formatCode>
                <c:ptCount val="1"/>
                <c:pt idx="0">
                  <c:v>11747.309999999989</c:v>
                </c:pt>
              </c:numCache>
            </c:numRef>
          </c:val>
          <c:extLst>
            <c:ext xmlns:c16="http://schemas.microsoft.com/office/drawing/2014/chart" uri="{C3380CC4-5D6E-409C-BE32-E72D297353CC}">
              <c16:uniqueId val="{00000001-427B-45C5-A84C-FC2C0830886A}"/>
            </c:ext>
          </c:extLst>
        </c:ser>
        <c:ser>
          <c:idx val="2"/>
          <c:order val="2"/>
          <c:tx>
            <c:strRef>
              <c:f>Sheet7!$C$6</c:f>
              <c:strCache>
                <c:ptCount val="1"/>
                <c:pt idx="0">
                  <c:v>Sum of Revenue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Sheet7!$A$7</c:f>
              <c:strCache>
                <c:ptCount val="1"/>
                <c:pt idx="0">
                  <c:v>Total</c:v>
                </c:pt>
              </c:strCache>
            </c:strRef>
          </c:cat>
          <c:val>
            <c:numRef>
              <c:f>Sheet7!$C$7</c:f>
              <c:numCache>
                <c:formatCode>General</c:formatCode>
                <c:ptCount val="1"/>
                <c:pt idx="0">
                  <c:v>11578.309999999989</c:v>
                </c:pt>
              </c:numCache>
            </c:numRef>
          </c:val>
          <c:extLst>
            <c:ext xmlns:c16="http://schemas.microsoft.com/office/drawing/2014/chart" uri="{C3380CC4-5D6E-409C-BE32-E72D297353CC}">
              <c16:uniqueId val="{00000002-427B-45C5-A84C-FC2C0830886A}"/>
            </c:ext>
          </c:extLst>
        </c:ser>
        <c:dLbls>
          <c:dLblPos val="ctr"/>
          <c:showLegendKey val="0"/>
          <c:showVal val="1"/>
          <c:showCatName val="0"/>
          <c:showSerName val="0"/>
          <c:showPercent val="0"/>
          <c:showBubbleSize val="0"/>
        </c:dLbls>
        <c:gapWidth val="150"/>
        <c:overlap val="100"/>
        <c:axId val="1849672656"/>
        <c:axId val="1839959920"/>
      </c:barChart>
      <c:catAx>
        <c:axId val="184967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959920"/>
        <c:crosses val="autoZero"/>
        <c:auto val="1"/>
        <c:lblAlgn val="ctr"/>
        <c:lblOffset val="100"/>
        <c:noMultiLvlLbl val="0"/>
      </c:catAx>
      <c:valAx>
        <c:axId val="1839959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7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Dashboard.xlsx]Sheet7!PivotTable1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Retail</a:t>
            </a:r>
            <a:r>
              <a:rPr lang="en-IN" sz="1600" b="1" baseline="0"/>
              <a:t> Price vs Revenue</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56737274037927"/>
          <c:y val="7.459725867599884E-2"/>
          <c:w val="0.58361927470333819"/>
          <c:h val="0.79060075823855347"/>
        </c:manualLayout>
      </c:layout>
      <c:bar3DChart>
        <c:barDir val="col"/>
        <c:grouping val="standard"/>
        <c:varyColors val="0"/>
        <c:ser>
          <c:idx val="0"/>
          <c:order val="0"/>
          <c:tx>
            <c:strRef>
              <c:f>Sheet7!$A$3</c:f>
              <c:strCache>
                <c:ptCount val="1"/>
                <c:pt idx="0">
                  <c:v>Sum of Retail Price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c:f>
              <c:strCache>
                <c:ptCount val="1"/>
                <c:pt idx="0">
                  <c:v>Total</c:v>
                </c:pt>
              </c:strCache>
            </c:strRef>
          </c:cat>
          <c:val>
            <c:numRef>
              <c:f>Sheet7!$A$4</c:f>
              <c:numCache>
                <c:formatCode>General</c:formatCode>
                <c:ptCount val="1"/>
                <c:pt idx="0">
                  <c:v>5869.2999999999911</c:v>
                </c:pt>
              </c:numCache>
            </c:numRef>
          </c:val>
          <c:extLst>
            <c:ext xmlns:c16="http://schemas.microsoft.com/office/drawing/2014/chart" uri="{C3380CC4-5D6E-409C-BE32-E72D297353CC}">
              <c16:uniqueId val="{00000000-5E77-4355-966D-242979D0D009}"/>
            </c:ext>
          </c:extLst>
        </c:ser>
        <c:ser>
          <c:idx val="1"/>
          <c:order val="1"/>
          <c:tx>
            <c:strRef>
              <c:f>Sheet7!$B$3</c:f>
              <c:strCache>
                <c:ptCount val="1"/>
                <c:pt idx="0">
                  <c:v>Sum of Revenue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c:f>
              <c:strCache>
                <c:ptCount val="1"/>
                <c:pt idx="0">
                  <c:v>Total</c:v>
                </c:pt>
              </c:strCache>
            </c:strRef>
          </c:cat>
          <c:val>
            <c:numRef>
              <c:f>Sheet7!$B$4</c:f>
              <c:numCache>
                <c:formatCode>General</c:formatCode>
                <c:ptCount val="1"/>
                <c:pt idx="0">
                  <c:v>11578.309999999989</c:v>
                </c:pt>
              </c:numCache>
            </c:numRef>
          </c:val>
          <c:extLst>
            <c:ext xmlns:c16="http://schemas.microsoft.com/office/drawing/2014/chart" uri="{C3380CC4-5D6E-409C-BE32-E72D297353CC}">
              <c16:uniqueId val="{00000001-5E77-4355-966D-242979D0D009}"/>
            </c:ext>
          </c:extLst>
        </c:ser>
        <c:dLbls>
          <c:showLegendKey val="0"/>
          <c:showVal val="1"/>
          <c:showCatName val="0"/>
          <c:showSerName val="0"/>
          <c:showPercent val="0"/>
          <c:showBubbleSize val="0"/>
        </c:dLbls>
        <c:gapWidth val="150"/>
        <c:shape val="box"/>
        <c:axId val="1836363968"/>
        <c:axId val="1895069248"/>
        <c:axId val="1626518336"/>
      </c:bar3DChart>
      <c:catAx>
        <c:axId val="1836363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069248"/>
        <c:crosses val="autoZero"/>
        <c:auto val="1"/>
        <c:lblAlgn val="ctr"/>
        <c:lblOffset val="100"/>
        <c:noMultiLvlLbl val="0"/>
      </c:catAx>
      <c:valAx>
        <c:axId val="189506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63968"/>
        <c:crosses val="autoZero"/>
        <c:crossBetween val="between"/>
      </c:valAx>
      <c:serAx>
        <c:axId val="16265183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06924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Dashboard.xlsx]Sheet7!PivotTable3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Shipping</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3.465851172273182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6503567787971308E-2"/>
              <c:y val="-7.782101167315175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4658511722731905E-2"/>
              <c:y val="-7.782101167315175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150200261664539E-2"/>
          <c:y val="0.15976653696498055"/>
          <c:w val="0.90712706783211727"/>
          <c:h val="0.65970219675847908"/>
        </c:manualLayout>
      </c:layout>
      <c:bar3DChart>
        <c:barDir val="bar"/>
        <c:grouping val="clustered"/>
        <c:varyColors val="0"/>
        <c:ser>
          <c:idx val="0"/>
          <c:order val="0"/>
          <c:tx>
            <c:strRef>
              <c:f>Sheet7!$C$12</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3-924B-4146-A02D-4069F2ABD940}"/>
              </c:ext>
            </c:extLst>
          </c:dPt>
          <c:dPt>
            <c:idx val="1"/>
            <c:invertIfNegative val="0"/>
            <c:bubble3D val="0"/>
            <c:extLst>
              <c:ext xmlns:c16="http://schemas.microsoft.com/office/drawing/2014/chart" uri="{C3380CC4-5D6E-409C-BE32-E72D297353CC}">
                <c16:uniqueId val="{00000002-924B-4146-A02D-4069F2ABD940}"/>
              </c:ext>
            </c:extLst>
          </c:dPt>
          <c:dPt>
            <c:idx val="2"/>
            <c:invertIfNegative val="0"/>
            <c:bubble3D val="0"/>
            <c:extLst>
              <c:ext xmlns:c16="http://schemas.microsoft.com/office/drawing/2014/chart" uri="{C3380CC4-5D6E-409C-BE32-E72D297353CC}">
                <c16:uniqueId val="{00000001-924B-4146-A02D-4069F2ABD940}"/>
              </c:ext>
            </c:extLst>
          </c:dPt>
          <c:dLbls>
            <c:dLbl>
              <c:idx val="0"/>
              <c:layout>
                <c:manualLayout>
                  <c:x val="3.4658511722731905E-2"/>
                  <c:y val="-7.78210116731517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B-4146-A02D-4069F2ABD940}"/>
                </c:ext>
              </c:extLst>
            </c:dLbl>
            <c:dLbl>
              <c:idx val="1"/>
              <c:layout>
                <c:manualLayout>
                  <c:x val="2.6503567787971308E-2"/>
                  <c:y val="-7.78210116731517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B-4146-A02D-4069F2ABD940}"/>
                </c:ext>
              </c:extLst>
            </c:dLbl>
            <c:dLbl>
              <c:idx val="2"/>
              <c:layout>
                <c:manualLayout>
                  <c:x val="3.465851172273182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B-4146-A02D-4069F2ABD94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Sheet7!$B$13:$B$16</c:f>
              <c:strCache>
                <c:ptCount val="3"/>
                <c:pt idx="0">
                  <c:v>Jan</c:v>
                </c:pt>
                <c:pt idx="1">
                  <c:v>Feb</c:v>
                </c:pt>
                <c:pt idx="2">
                  <c:v>Mar</c:v>
                </c:pt>
              </c:strCache>
            </c:strRef>
          </c:cat>
          <c:val>
            <c:numRef>
              <c:f>Sheet7!$C$13:$C$16</c:f>
              <c:numCache>
                <c:formatCode>General</c:formatCode>
                <c:ptCount val="3"/>
                <c:pt idx="0">
                  <c:v>29</c:v>
                </c:pt>
                <c:pt idx="1">
                  <c:v>29</c:v>
                </c:pt>
                <c:pt idx="2">
                  <c:v>12</c:v>
                </c:pt>
              </c:numCache>
            </c:numRef>
          </c:val>
          <c:extLst>
            <c:ext xmlns:c16="http://schemas.microsoft.com/office/drawing/2014/chart" uri="{C3380CC4-5D6E-409C-BE32-E72D297353CC}">
              <c16:uniqueId val="{00000000-924B-4146-A02D-4069F2ABD940}"/>
            </c:ext>
          </c:extLst>
        </c:ser>
        <c:dLbls>
          <c:showLegendKey val="0"/>
          <c:showVal val="1"/>
          <c:showCatName val="0"/>
          <c:showSerName val="0"/>
          <c:showPercent val="0"/>
          <c:showBubbleSize val="0"/>
        </c:dLbls>
        <c:gapWidth val="150"/>
        <c:shape val="box"/>
        <c:axId val="1849670736"/>
        <c:axId val="1895079664"/>
        <c:axId val="0"/>
      </c:bar3DChart>
      <c:catAx>
        <c:axId val="184967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079664"/>
        <c:crosses val="autoZero"/>
        <c:auto val="1"/>
        <c:lblAlgn val="ctr"/>
        <c:lblOffset val="100"/>
        <c:noMultiLvlLbl val="0"/>
      </c:catAx>
      <c:valAx>
        <c:axId val="189507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7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Dashboard.xlsx]Sheet4!PivotTable1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Revenue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0.1127819548872180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0340170077579689E-16"/>
              <c:y val="-0.1065162907268170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
              <c:y val="-0.1127819548872180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0340170077579689E-16"/>
              <c:y val="-0.1065162907268170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
              <c:y val="-0.1127819548872180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1.0340170077579689E-16"/>
              <c:y val="-0.1065162907268170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Sheet4!$B$3</c:f>
              <c:strCache>
                <c:ptCount val="1"/>
                <c:pt idx="0">
                  <c:v>Total</c:v>
                </c:pt>
              </c:strCache>
            </c:strRef>
          </c:tx>
          <c:spPr>
            <a:solidFill>
              <a:schemeClr val="accent1"/>
            </a:solidFill>
            <a:ln>
              <a:noFill/>
            </a:ln>
            <a:effectLst/>
            <a:sp3d/>
          </c:spPr>
          <c:dPt>
            <c:idx val="0"/>
            <c:bubble3D val="0"/>
            <c:extLst>
              <c:ext xmlns:c16="http://schemas.microsoft.com/office/drawing/2014/chart" uri="{C3380CC4-5D6E-409C-BE32-E72D297353CC}">
                <c16:uniqueId val="{00000000-681C-4291-999E-336832B6EA0A}"/>
              </c:ext>
            </c:extLst>
          </c:dPt>
          <c:dPt>
            <c:idx val="1"/>
            <c:bubble3D val="0"/>
            <c:extLst>
              <c:ext xmlns:c16="http://schemas.microsoft.com/office/drawing/2014/chart" uri="{C3380CC4-5D6E-409C-BE32-E72D297353CC}">
                <c16:uniqueId val="{00000001-681C-4291-999E-336832B6EA0A}"/>
              </c:ext>
            </c:extLst>
          </c:dPt>
          <c:dLbls>
            <c:dLbl>
              <c:idx val="0"/>
              <c:layout>
                <c:manualLayout>
                  <c:x val="0"/>
                  <c:y val="-0.112781954887218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1C-4291-999E-336832B6EA0A}"/>
                </c:ext>
              </c:extLst>
            </c:dLbl>
            <c:dLbl>
              <c:idx val="1"/>
              <c:layout>
                <c:manualLayout>
                  <c:x val="-1.0340170077579689E-16"/>
                  <c:y val="-0.106516290726817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1C-4291-999E-336832B6EA0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Jan</c:v>
                </c:pt>
                <c:pt idx="1">
                  <c:v>Feb</c:v>
                </c:pt>
                <c:pt idx="2">
                  <c:v>Mar</c:v>
                </c:pt>
              </c:strCache>
            </c:strRef>
          </c:cat>
          <c:val>
            <c:numRef>
              <c:f>Sheet4!$B$4:$B$7</c:f>
              <c:numCache>
                <c:formatCode>General</c:formatCode>
                <c:ptCount val="3"/>
                <c:pt idx="0">
                  <c:v>5043.2599999999975</c:v>
                </c:pt>
                <c:pt idx="1">
                  <c:v>4901.2799999999988</c:v>
                </c:pt>
                <c:pt idx="2">
                  <c:v>1802.7700000000002</c:v>
                </c:pt>
              </c:numCache>
            </c:numRef>
          </c:val>
          <c:smooth val="0"/>
          <c:extLst>
            <c:ext xmlns:c16="http://schemas.microsoft.com/office/drawing/2014/chart" uri="{C3380CC4-5D6E-409C-BE32-E72D297353CC}">
              <c16:uniqueId val="{00000002-681C-4291-999E-336832B6EA0A}"/>
            </c:ext>
          </c:extLst>
        </c:ser>
        <c:dLbls>
          <c:showLegendKey val="0"/>
          <c:showVal val="1"/>
          <c:showCatName val="0"/>
          <c:showSerName val="0"/>
          <c:showPercent val="0"/>
          <c:showBubbleSize val="0"/>
        </c:dLbls>
        <c:axId val="861259024"/>
        <c:axId val="572462192"/>
        <c:axId val="871293744"/>
      </c:line3DChart>
      <c:catAx>
        <c:axId val="861259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62192"/>
        <c:crosses val="autoZero"/>
        <c:auto val="1"/>
        <c:lblAlgn val="ctr"/>
        <c:lblOffset val="100"/>
        <c:noMultiLvlLbl val="0"/>
      </c:catAx>
      <c:valAx>
        <c:axId val="57246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259024"/>
        <c:crosses val="autoZero"/>
        <c:crossBetween val="between"/>
      </c:valAx>
      <c:serAx>
        <c:axId val="87129374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6219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Dashboard.xlsx]Sheet4!PivotTable2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Revenue by Product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Sheet4!$A$10:$A$37</c:f>
              <c:strCache>
                <c:ptCount val="27"/>
                <c:pt idx="0">
                  <c:v>Brush</c:v>
                </c:pt>
                <c:pt idx="1">
                  <c:v>Candy</c:v>
                </c:pt>
                <c:pt idx="2">
                  <c:v>Chocos</c:v>
                </c:pt>
                <c:pt idx="3">
                  <c:v>Coffee</c:v>
                </c:pt>
                <c:pt idx="4">
                  <c:v>Coldy</c:v>
                </c:pt>
                <c:pt idx="5">
                  <c:v>Crunch</c:v>
                </c:pt>
                <c:pt idx="6">
                  <c:v>detergent</c:v>
                </c:pt>
                <c:pt idx="7">
                  <c:v>Flour</c:v>
                </c:pt>
                <c:pt idx="8">
                  <c:v>Fruits</c:v>
                </c:pt>
                <c:pt idx="9">
                  <c:v>Gram</c:v>
                </c:pt>
                <c:pt idx="10">
                  <c:v>Gram Flour </c:v>
                </c:pt>
                <c:pt idx="11">
                  <c:v>Ket Rice</c:v>
                </c:pt>
                <c:pt idx="12">
                  <c:v>Mango</c:v>
                </c:pt>
                <c:pt idx="13">
                  <c:v>Milk</c:v>
                </c:pt>
                <c:pt idx="14">
                  <c:v>Oil</c:v>
                </c:pt>
                <c:pt idx="15">
                  <c:v>Pasty</c:v>
                </c:pt>
                <c:pt idx="16">
                  <c:v>Powdwe</c:v>
                </c:pt>
                <c:pt idx="17">
                  <c:v>Pulse</c:v>
                </c:pt>
                <c:pt idx="18">
                  <c:v>Rice</c:v>
                </c:pt>
                <c:pt idx="19">
                  <c:v>Salt</c:v>
                </c:pt>
                <c:pt idx="20">
                  <c:v>Soap</c:v>
                </c:pt>
                <c:pt idx="21">
                  <c:v>Spices</c:v>
                </c:pt>
                <c:pt idx="22">
                  <c:v>Tea</c:v>
                </c:pt>
                <c:pt idx="23">
                  <c:v>Turmeric</c:v>
                </c:pt>
                <c:pt idx="24">
                  <c:v>Vegetales</c:v>
                </c:pt>
                <c:pt idx="25">
                  <c:v>Vegg</c:v>
                </c:pt>
                <c:pt idx="26">
                  <c:v>Wheat</c:v>
                </c:pt>
              </c:strCache>
            </c:strRef>
          </c:cat>
          <c:val>
            <c:numRef>
              <c:f>Sheet4!$B$10:$B$37</c:f>
              <c:numCache>
                <c:formatCode>General</c:formatCode>
                <c:ptCount val="27"/>
                <c:pt idx="0">
                  <c:v>739.94</c:v>
                </c:pt>
                <c:pt idx="1">
                  <c:v>239.94</c:v>
                </c:pt>
                <c:pt idx="2">
                  <c:v>659.91</c:v>
                </c:pt>
                <c:pt idx="3">
                  <c:v>179.94</c:v>
                </c:pt>
                <c:pt idx="4">
                  <c:v>349.94</c:v>
                </c:pt>
                <c:pt idx="5">
                  <c:v>169.94</c:v>
                </c:pt>
                <c:pt idx="6">
                  <c:v>149.97</c:v>
                </c:pt>
                <c:pt idx="7">
                  <c:v>349.90999999999997</c:v>
                </c:pt>
                <c:pt idx="8">
                  <c:v>359.97</c:v>
                </c:pt>
                <c:pt idx="9">
                  <c:v>1199.94</c:v>
                </c:pt>
                <c:pt idx="10">
                  <c:v>629.92000000000007</c:v>
                </c:pt>
                <c:pt idx="11">
                  <c:v>479.95</c:v>
                </c:pt>
                <c:pt idx="12">
                  <c:v>269.91999999999996</c:v>
                </c:pt>
                <c:pt idx="13">
                  <c:v>449.93000000000006</c:v>
                </c:pt>
                <c:pt idx="14">
                  <c:v>709.93000000000006</c:v>
                </c:pt>
                <c:pt idx="15">
                  <c:v>529.94000000000005</c:v>
                </c:pt>
                <c:pt idx="16">
                  <c:v>319.96000000000004</c:v>
                </c:pt>
                <c:pt idx="17">
                  <c:v>149.98000000000002</c:v>
                </c:pt>
                <c:pt idx="18">
                  <c:v>969.85</c:v>
                </c:pt>
                <c:pt idx="19">
                  <c:v>559.96</c:v>
                </c:pt>
                <c:pt idx="20">
                  <c:v>589.93000000000006</c:v>
                </c:pt>
                <c:pt idx="21">
                  <c:v>539.88</c:v>
                </c:pt>
                <c:pt idx="22">
                  <c:v>169.95999999999998</c:v>
                </c:pt>
                <c:pt idx="23">
                  <c:v>189.94</c:v>
                </c:pt>
                <c:pt idx="24">
                  <c:v>219.94</c:v>
                </c:pt>
                <c:pt idx="25">
                  <c:v>159.97999999999999</c:v>
                </c:pt>
                <c:pt idx="26">
                  <c:v>239.94</c:v>
                </c:pt>
              </c:numCache>
            </c:numRef>
          </c:val>
          <c:extLst>
            <c:ext xmlns:c16="http://schemas.microsoft.com/office/drawing/2014/chart" uri="{C3380CC4-5D6E-409C-BE32-E72D297353CC}">
              <c16:uniqueId val="{00000000-E237-4625-A816-3ABF7E2370B6}"/>
            </c:ext>
          </c:extLst>
        </c:ser>
        <c:dLbls>
          <c:showLegendKey val="0"/>
          <c:showVal val="1"/>
          <c:showCatName val="0"/>
          <c:showSerName val="0"/>
          <c:showPercent val="0"/>
          <c:showBubbleSize val="0"/>
        </c:dLbls>
        <c:gapWidth val="150"/>
        <c:shape val="box"/>
        <c:axId val="861255664"/>
        <c:axId val="572468640"/>
        <c:axId val="0"/>
      </c:bar3DChart>
      <c:catAx>
        <c:axId val="861255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72468640"/>
        <c:crosses val="autoZero"/>
        <c:auto val="1"/>
        <c:lblAlgn val="ctr"/>
        <c:lblOffset val="100"/>
        <c:noMultiLvlLbl val="0"/>
      </c:catAx>
      <c:valAx>
        <c:axId val="57246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25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Total</a:t>
            </a:r>
            <a:r>
              <a:rPr lang="en-IN" sz="1600" b="1" baseline="0"/>
              <a:t> Revenue vs Tax</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44005010737295"/>
          <c:y val="0.25334699453551912"/>
          <c:w val="0.69956066571224051"/>
          <c:h val="0.58819489264661584"/>
        </c:manualLayout>
      </c:layout>
      <c:bar3DChart>
        <c:barDir val="col"/>
        <c:grouping val="percentStacked"/>
        <c:varyColors val="0"/>
        <c:ser>
          <c:idx val="0"/>
          <c:order val="0"/>
          <c:tx>
            <c:strRef>
              <c:f>Sheet4!$E$15</c:f>
              <c:strCache>
                <c:ptCount val="1"/>
                <c:pt idx="0">
                  <c:v>Sum of Revenue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Sheet4!$D$16:$D$19</c:f>
              <c:strCache>
                <c:ptCount val="3"/>
                <c:pt idx="0">
                  <c:v>Jan</c:v>
                </c:pt>
                <c:pt idx="1">
                  <c:v>Feb</c:v>
                </c:pt>
                <c:pt idx="2">
                  <c:v>Mar</c:v>
                </c:pt>
              </c:strCache>
            </c:strRef>
          </c:cat>
          <c:val>
            <c:numRef>
              <c:f>Sheet4!$E$16:$E$19</c:f>
              <c:numCache>
                <c:formatCode>General</c:formatCode>
                <c:ptCount val="3"/>
                <c:pt idx="0">
                  <c:v>4969.2599999999975</c:v>
                </c:pt>
                <c:pt idx="1">
                  <c:v>4829.2799999999988</c:v>
                </c:pt>
                <c:pt idx="2">
                  <c:v>1779.7700000000002</c:v>
                </c:pt>
              </c:numCache>
            </c:numRef>
          </c:val>
          <c:extLst>
            <c:ext xmlns:c16="http://schemas.microsoft.com/office/drawing/2014/chart" uri="{C3380CC4-5D6E-409C-BE32-E72D297353CC}">
              <c16:uniqueId val="{00000000-CF19-44EE-A8F5-7E2179D5A05F}"/>
            </c:ext>
          </c:extLst>
        </c:ser>
        <c:ser>
          <c:idx val="1"/>
          <c:order val="1"/>
          <c:tx>
            <c:strRef>
              <c:f>Sheet4!$F$15</c:f>
              <c:strCache>
                <c:ptCount val="1"/>
                <c:pt idx="0">
                  <c:v>Sum of Tax</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Sheet4!$D$16:$D$19</c:f>
              <c:strCache>
                <c:ptCount val="3"/>
                <c:pt idx="0">
                  <c:v>Jan</c:v>
                </c:pt>
                <c:pt idx="1">
                  <c:v>Feb</c:v>
                </c:pt>
                <c:pt idx="2">
                  <c:v>Mar</c:v>
                </c:pt>
              </c:strCache>
            </c:strRef>
          </c:cat>
          <c:val>
            <c:numRef>
              <c:f>Sheet4!$F$16:$F$19</c:f>
              <c:numCache>
                <c:formatCode>General</c:formatCode>
                <c:ptCount val="3"/>
                <c:pt idx="0">
                  <c:v>496.9260000000001</c:v>
                </c:pt>
                <c:pt idx="1">
                  <c:v>482.928</c:v>
                </c:pt>
                <c:pt idx="2">
                  <c:v>177.97699999999998</c:v>
                </c:pt>
              </c:numCache>
            </c:numRef>
          </c:val>
          <c:extLst>
            <c:ext xmlns:c16="http://schemas.microsoft.com/office/drawing/2014/chart" uri="{C3380CC4-5D6E-409C-BE32-E72D297353CC}">
              <c16:uniqueId val="{00000001-CF19-44EE-A8F5-7E2179D5A05F}"/>
            </c:ext>
          </c:extLst>
        </c:ser>
        <c:dLbls>
          <c:showLegendKey val="0"/>
          <c:showVal val="1"/>
          <c:showCatName val="0"/>
          <c:showSerName val="0"/>
          <c:showPercent val="0"/>
          <c:showBubbleSize val="0"/>
        </c:dLbls>
        <c:gapWidth val="150"/>
        <c:shape val="box"/>
        <c:axId val="573413728"/>
        <c:axId val="857529184"/>
        <c:axId val="0"/>
      </c:bar3DChart>
      <c:catAx>
        <c:axId val="573413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29184"/>
        <c:crosses val="autoZero"/>
        <c:auto val="1"/>
        <c:lblAlgn val="ctr"/>
        <c:lblOffset val="100"/>
        <c:noMultiLvlLbl val="0"/>
      </c:catAx>
      <c:valAx>
        <c:axId val="857529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413728"/>
        <c:crosses val="autoZero"/>
        <c:crossBetween val="between"/>
      </c:valAx>
      <c:spPr>
        <a:noFill/>
        <a:ln>
          <a:noFill/>
        </a:ln>
        <a:effectLst/>
      </c:spPr>
    </c:plotArea>
    <c:legend>
      <c:legendPos val="r"/>
      <c:layout>
        <c:manualLayout>
          <c:xMode val="edge"/>
          <c:yMode val="edge"/>
          <c:x val="0.7903340491529468"/>
          <c:y val="0.38473279979346842"/>
          <c:w val="0.18693867811978049"/>
          <c:h val="0.387638225549675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Sales</a:t>
            </a:r>
            <a:r>
              <a:rPr lang="en-US" sz="1600" b="1" baseline="0"/>
              <a:t> By Weekdays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3448275862069"/>
          <c:y val="0.28674478190226221"/>
          <c:w val="0.67387618789030679"/>
          <c:h val="0.56595800524934381"/>
        </c:manualLayout>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AD5-4667-BAEF-D8C9BF6F082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AD5-4667-BAEF-D8C9BF6F082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AD5-4667-BAEF-D8C9BF6F082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AD5-4667-BAEF-D8C9BF6F082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AD5-4667-BAEF-D8C9BF6F082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Monday</c:v>
                </c:pt>
                <c:pt idx="1">
                  <c:v>Tuesday</c:v>
                </c:pt>
                <c:pt idx="2">
                  <c:v>Wednesday</c:v>
                </c:pt>
                <c:pt idx="3">
                  <c:v>Friday</c:v>
                </c:pt>
                <c:pt idx="4">
                  <c:v>Saturday</c:v>
                </c:pt>
              </c:strCache>
            </c:strRef>
          </c:cat>
          <c:val>
            <c:numRef>
              <c:f>Sheet3!$B$4:$B$9</c:f>
              <c:numCache>
                <c:formatCode>General</c:formatCode>
                <c:ptCount val="5"/>
                <c:pt idx="0">
                  <c:v>1699.79</c:v>
                </c:pt>
                <c:pt idx="1">
                  <c:v>1319.75</c:v>
                </c:pt>
                <c:pt idx="2">
                  <c:v>1699.73</c:v>
                </c:pt>
                <c:pt idx="3">
                  <c:v>2799.7</c:v>
                </c:pt>
                <c:pt idx="4">
                  <c:v>1609.76</c:v>
                </c:pt>
              </c:numCache>
            </c:numRef>
          </c:val>
          <c:extLst>
            <c:ext xmlns:c16="http://schemas.microsoft.com/office/drawing/2014/chart" uri="{C3380CC4-5D6E-409C-BE32-E72D297353CC}">
              <c16:uniqueId val="{0000000A-8AD5-4667-BAEF-D8C9BF6F082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Dashboard.xlsx]Sheet3!PivotTable2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Trend</a:t>
            </a:r>
            <a:endParaRPr lang="en-IN" sz="1600" b="1"/>
          </a:p>
        </c:rich>
      </c:tx>
      <c:layout>
        <c:manualLayout>
          <c:xMode val="edge"/>
          <c:yMode val="edge"/>
          <c:x val="0.38845070029963069"/>
          <c:y val="4.206206577119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2222222222222223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3333333333333333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2222222222222223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3333333333333333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2222222222222223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3.3333333333333333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129677374399"/>
          <c:y val="0.31003921568627452"/>
          <c:w val="0.63182830464775974"/>
          <c:h val="0.54722927281148681"/>
        </c:manualLayout>
      </c:layout>
      <c:line3DChart>
        <c:grouping val="standard"/>
        <c:varyColors val="0"/>
        <c:ser>
          <c:idx val="0"/>
          <c:order val="0"/>
          <c:tx>
            <c:strRef>
              <c:f>Sheet3!$B$11</c:f>
              <c:strCache>
                <c:ptCount val="1"/>
                <c:pt idx="0">
                  <c:v>Total</c:v>
                </c:pt>
              </c:strCache>
            </c:strRef>
          </c:tx>
          <c:spPr>
            <a:solidFill>
              <a:schemeClr val="accent1"/>
            </a:solidFill>
            <a:ln>
              <a:noFill/>
            </a:ln>
            <a:effectLst/>
            <a:sp3d/>
          </c:spPr>
          <c:dPt>
            <c:idx val="0"/>
            <c:bubble3D val="0"/>
            <c:spPr>
              <a:solidFill>
                <a:schemeClr val="accent1"/>
              </a:solidFill>
              <a:ln>
                <a:noFill/>
              </a:ln>
              <a:effectLst/>
              <a:sp3d/>
            </c:spPr>
            <c:extLst>
              <c:ext xmlns:c16="http://schemas.microsoft.com/office/drawing/2014/chart" uri="{C3380CC4-5D6E-409C-BE32-E72D297353CC}">
                <c16:uniqueId val="{00000000-1CFE-485E-AB68-4607B5D8BB4F}"/>
              </c:ext>
            </c:extLst>
          </c:dPt>
          <c:dPt>
            <c:idx val="1"/>
            <c:bubble3D val="0"/>
            <c:spPr>
              <a:solidFill>
                <a:schemeClr val="accent1"/>
              </a:solidFill>
              <a:ln>
                <a:noFill/>
              </a:ln>
              <a:effectLst/>
              <a:sp3d/>
            </c:spPr>
            <c:extLst>
              <c:ext xmlns:c16="http://schemas.microsoft.com/office/drawing/2014/chart" uri="{C3380CC4-5D6E-409C-BE32-E72D297353CC}">
                <c16:uniqueId val="{00000001-1CFE-485E-AB68-4607B5D8BB4F}"/>
              </c:ext>
            </c:extLst>
          </c:dPt>
          <c:dLbls>
            <c:dLbl>
              <c:idx val="0"/>
              <c:layout>
                <c:manualLayout>
                  <c:x val="-2.2222222222222223E-2"/>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CFE-485E-AB68-4607B5D8BB4F}"/>
                </c:ext>
              </c:extLst>
            </c:dLbl>
            <c:dLbl>
              <c:idx val="1"/>
              <c:layout>
                <c:manualLayout>
                  <c:x val="3.3333333333333333E-2"/>
                  <c:y val="-1.8518518518518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FE-485E-AB68-4607B5D8BB4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Sheet3!$A$12:$A$15</c:f>
              <c:strCache>
                <c:ptCount val="3"/>
                <c:pt idx="0">
                  <c:v>Jan</c:v>
                </c:pt>
                <c:pt idx="1">
                  <c:v>Feb</c:v>
                </c:pt>
                <c:pt idx="2">
                  <c:v>Mar</c:v>
                </c:pt>
              </c:strCache>
            </c:strRef>
          </c:cat>
          <c:val>
            <c:numRef>
              <c:f>Sheet3!$B$12:$B$15</c:f>
              <c:numCache>
                <c:formatCode>General</c:formatCode>
                <c:ptCount val="3"/>
                <c:pt idx="0">
                  <c:v>4969.2599999999975</c:v>
                </c:pt>
                <c:pt idx="1">
                  <c:v>4829.2799999999988</c:v>
                </c:pt>
                <c:pt idx="2">
                  <c:v>1779.7700000000002</c:v>
                </c:pt>
              </c:numCache>
            </c:numRef>
          </c:val>
          <c:smooth val="0"/>
          <c:extLst>
            <c:ext xmlns:c16="http://schemas.microsoft.com/office/drawing/2014/chart" uri="{C3380CC4-5D6E-409C-BE32-E72D297353CC}">
              <c16:uniqueId val="{00000002-1CFE-485E-AB68-4607B5D8BB4F}"/>
            </c:ext>
          </c:extLst>
        </c:ser>
        <c:dLbls>
          <c:showLegendKey val="0"/>
          <c:showVal val="1"/>
          <c:showCatName val="0"/>
          <c:showSerName val="0"/>
          <c:showPercent val="0"/>
          <c:showBubbleSize val="0"/>
        </c:dLbls>
        <c:axId val="591517552"/>
        <c:axId val="670399152"/>
        <c:axId val="2094110688"/>
      </c:line3DChart>
      <c:catAx>
        <c:axId val="591517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99152"/>
        <c:crosses val="autoZero"/>
        <c:auto val="1"/>
        <c:lblAlgn val="ctr"/>
        <c:lblOffset val="100"/>
        <c:noMultiLvlLbl val="0"/>
      </c:catAx>
      <c:valAx>
        <c:axId val="67039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517552"/>
        <c:crosses val="autoZero"/>
        <c:crossBetween val="between"/>
      </c:valAx>
      <c:serAx>
        <c:axId val="209411068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991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Dashboard.xlsx]Sheet3!PivotTable3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Product</a:t>
            </a:r>
            <a:endParaRPr lang="en-US" sz="1600" b="1"/>
          </a:p>
        </c:rich>
      </c:tx>
      <c:layout>
        <c:manualLayout>
          <c:xMode val="edge"/>
          <c:yMode val="edge"/>
          <c:x val="0.33416666666666667"/>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472222222222222E-3"/>
              <c:y val="-0.148532461744168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6.9444444444444441E-3"/>
              <c:y val="-0.105660377358490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
              <c:y val="-0.105660377358490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45905656820521"/>
          <c:y val="0.26524178363574119"/>
          <c:w val="0.88777656936529348"/>
          <c:h val="0.48730443341321478"/>
        </c:manualLayout>
      </c:layout>
      <c:bar3DChart>
        <c:barDir val="col"/>
        <c:grouping val="clustered"/>
        <c:varyColors val="0"/>
        <c:ser>
          <c:idx val="0"/>
          <c:order val="0"/>
          <c:tx>
            <c:strRef>
              <c:f>Sheet3!$B$17</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2-335F-47B0-AC81-08CBF587412E}"/>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3-335F-47B0-AC81-08CBF587412E}"/>
              </c:ext>
            </c:extLst>
          </c:dPt>
          <c:dPt>
            <c:idx val="8"/>
            <c:invertIfNegative val="0"/>
            <c:bubble3D val="0"/>
            <c:spPr>
              <a:solidFill>
                <a:schemeClr val="accent1"/>
              </a:solidFill>
              <a:ln>
                <a:noFill/>
              </a:ln>
              <a:effectLst/>
              <a:sp3d/>
            </c:spPr>
            <c:extLst>
              <c:ext xmlns:c16="http://schemas.microsoft.com/office/drawing/2014/chart" uri="{C3380CC4-5D6E-409C-BE32-E72D297353CC}">
                <c16:uniqueId val="{00000000-335F-47B0-AC81-08CBF587412E}"/>
              </c:ext>
            </c:extLst>
          </c:dPt>
          <c:dLbls>
            <c:dLbl>
              <c:idx val="0"/>
              <c:layout>
                <c:manualLayout>
                  <c:x val="-6.9444444444444441E-3"/>
                  <c:y val="-0.105660377358490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5F-47B0-AC81-08CBF587412E}"/>
                </c:ext>
              </c:extLst>
            </c:dLbl>
            <c:dLbl>
              <c:idx val="4"/>
              <c:layout>
                <c:manualLayout>
                  <c:x val="0"/>
                  <c:y val="-0.105660377358490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5F-47B0-AC81-08CBF587412E}"/>
                </c:ext>
              </c:extLst>
            </c:dLbl>
            <c:dLbl>
              <c:idx val="8"/>
              <c:layout>
                <c:manualLayout>
                  <c:x val="-3.472222222222222E-3"/>
                  <c:y val="-0.14853246174416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5F-47B0-AC81-08CBF58741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Sheet3!$A$18:$A$28</c:f>
              <c:strCache>
                <c:ptCount val="10"/>
                <c:pt idx="0">
                  <c:v>Brush</c:v>
                </c:pt>
                <c:pt idx="1">
                  <c:v>Chocos</c:v>
                </c:pt>
                <c:pt idx="2">
                  <c:v>Gram</c:v>
                </c:pt>
                <c:pt idx="3">
                  <c:v>Gram Flour </c:v>
                </c:pt>
                <c:pt idx="4">
                  <c:v>Oil</c:v>
                </c:pt>
                <c:pt idx="5">
                  <c:v>Pasty</c:v>
                </c:pt>
                <c:pt idx="6">
                  <c:v>Rice</c:v>
                </c:pt>
                <c:pt idx="7">
                  <c:v>Salt</c:v>
                </c:pt>
                <c:pt idx="8">
                  <c:v>Soap</c:v>
                </c:pt>
                <c:pt idx="9">
                  <c:v>Spices</c:v>
                </c:pt>
              </c:strCache>
            </c:strRef>
          </c:cat>
          <c:val>
            <c:numRef>
              <c:f>Sheet3!$B$18:$B$28</c:f>
              <c:numCache>
                <c:formatCode>General</c:formatCode>
                <c:ptCount val="10"/>
                <c:pt idx="0">
                  <c:v>739.94</c:v>
                </c:pt>
                <c:pt idx="1">
                  <c:v>659.91</c:v>
                </c:pt>
                <c:pt idx="2">
                  <c:v>1199.94</c:v>
                </c:pt>
                <c:pt idx="3">
                  <c:v>629.92000000000007</c:v>
                </c:pt>
                <c:pt idx="4">
                  <c:v>709.93000000000006</c:v>
                </c:pt>
                <c:pt idx="5">
                  <c:v>529.94000000000005</c:v>
                </c:pt>
                <c:pt idx="6">
                  <c:v>969.85</c:v>
                </c:pt>
                <c:pt idx="7">
                  <c:v>559.96</c:v>
                </c:pt>
                <c:pt idx="8">
                  <c:v>589.93000000000006</c:v>
                </c:pt>
                <c:pt idx="9">
                  <c:v>539.88</c:v>
                </c:pt>
              </c:numCache>
            </c:numRef>
          </c:val>
          <c:extLst>
            <c:ext xmlns:c16="http://schemas.microsoft.com/office/drawing/2014/chart" uri="{C3380CC4-5D6E-409C-BE32-E72D297353CC}">
              <c16:uniqueId val="{00000001-335F-47B0-AC81-08CBF587412E}"/>
            </c:ext>
          </c:extLst>
        </c:ser>
        <c:dLbls>
          <c:showLegendKey val="0"/>
          <c:showVal val="1"/>
          <c:showCatName val="0"/>
          <c:showSerName val="0"/>
          <c:showPercent val="0"/>
          <c:showBubbleSize val="0"/>
        </c:dLbls>
        <c:gapWidth val="150"/>
        <c:shape val="box"/>
        <c:axId val="679886672"/>
        <c:axId val="670383776"/>
        <c:axId val="0"/>
      </c:bar3DChart>
      <c:catAx>
        <c:axId val="679886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83776"/>
        <c:crosses val="autoZero"/>
        <c:auto val="1"/>
        <c:lblAlgn val="ctr"/>
        <c:lblOffset val="100"/>
        <c:noMultiLvlLbl val="0"/>
      </c:catAx>
      <c:valAx>
        <c:axId val="67038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8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Dashboard.xlsx]Sheet3!PivotTable4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Total</a:t>
            </a:r>
            <a:r>
              <a:rPr lang="en-IN" sz="1600" b="1" baseline="0"/>
              <a:t> Revenue By Tax</a:t>
            </a:r>
            <a:endParaRPr lang="en-IN" sz="1600" b="1"/>
          </a:p>
        </c:rich>
      </c:tx>
      <c:layout>
        <c:manualLayout>
          <c:xMode val="edge"/>
          <c:yMode val="edge"/>
          <c:x val="0.33970144356955378"/>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2.7777777777777523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2.7777777777777523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7777777777777523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427559055118109"/>
          <c:y val="0.17069225721784775"/>
          <c:w val="0.57969160104986872"/>
          <c:h val="0.7450565033537474"/>
        </c:manualLayout>
      </c:layout>
      <c:bar3DChart>
        <c:barDir val="bar"/>
        <c:grouping val="clustered"/>
        <c:varyColors val="0"/>
        <c:ser>
          <c:idx val="0"/>
          <c:order val="0"/>
          <c:tx>
            <c:strRef>
              <c:f>Sheet3!$B$30</c:f>
              <c:strCache>
                <c:ptCount val="1"/>
                <c:pt idx="0">
                  <c:v>Sum of Revenue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Sheet3!$A$31:$A$34</c:f>
              <c:strCache>
                <c:ptCount val="3"/>
                <c:pt idx="0">
                  <c:v>January</c:v>
                </c:pt>
                <c:pt idx="1">
                  <c:v>February</c:v>
                </c:pt>
                <c:pt idx="2">
                  <c:v>March</c:v>
                </c:pt>
              </c:strCache>
            </c:strRef>
          </c:cat>
          <c:val>
            <c:numRef>
              <c:f>Sheet3!$B$31:$B$34</c:f>
              <c:numCache>
                <c:formatCode>General</c:formatCode>
                <c:ptCount val="3"/>
                <c:pt idx="0">
                  <c:v>4679.2899999999981</c:v>
                </c:pt>
                <c:pt idx="1">
                  <c:v>4709.2999999999993</c:v>
                </c:pt>
                <c:pt idx="2">
                  <c:v>2189.7200000000003</c:v>
                </c:pt>
              </c:numCache>
            </c:numRef>
          </c:val>
          <c:extLst>
            <c:ext xmlns:c16="http://schemas.microsoft.com/office/drawing/2014/chart" uri="{C3380CC4-5D6E-409C-BE32-E72D297353CC}">
              <c16:uniqueId val="{00000000-07AF-452A-A73D-4BB366FB3284}"/>
            </c:ext>
          </c:extLst>
        </c:ser>
        <c:ser>
          <c:idx val="1"/>
          <c:order val="1"/>
          <c:tx>
            <c:strRef>
              <c:f>Sheet3!$C$30</c:f>
              <c:strCache>
                <c:ptCount val="1"/>
                <c:pt idx="0">
                  <c:v>Sum of Tax</c:v>
                </c:pt>
              </c:strCache>
            </c:strRef>
          </c:tx>
          <c:spPr>
            <a:solidFill>
              <a:schemeClr val="accent2"/>
            </a:solidFill>
            <a:ln>
              <a:noFill/>
            </a:ln>
            <a:effectLst/>
            <a:sp3d/>
          </c:spPr>
          <c:invertIfNegative val="0"/>
          <c:dPt>
            <c:idx val="2"/>
            <c:invertIfNegative val="0"/>
            <c:bubble3D val="0"/>
            <c:extLst>
              <c:ext xmlns:c16="http://schemas.microsoft.com/office/drawing/2014/chart" uri="{C3380CC4-5D6E-409C-BE32-E72D297353CC}">
                <c16:uniqueId val="{00000001-07AF-452A-A73D-4BB366FB3284}"/>
              </c:ext>
            </c:extLst>
          </c:dPt>
          <c:dLbls>
            <c:dLbl>
              <c:idx val="2"/>
              <c:layout>
                <c:manualLayout>
                  <c:x val="2.7777777777777523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AF-452A-A73D-4BB366FB328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Sheet3!$A$31:$A$34</c:f>
              <c:strCache>
                <c:ptCount val="3"/>
                <c:pt idx="0">
                  <c:v>January</c:v>
                </c:pt>
                <c:pt idx="1">
                  <c:v>February</c:v>
                </c:pt>
                <c:pt idx="2">
                  <c:v>March</c:v>
                </c:pt>
              </c:strCache>
            </c:strRef>
          </c:cat>
          <c:val>
            <c:numRef>
              <c:f>Sheet3!$C$31:$C$34</c:f>
              <c:numCache>
                <c:formatCode>0.00%</c:formatCode>
                <c:ptCount val="3"/>
                <c:pt idx="0">
                  <c:v>0.40414274622116703</c:v>
                </c:pt>
                <c:pt idx="1">
                  <c:v>0.4067346616216011</c:v>
                </c:pt>
                <c:pt idx="2">
                  <c:v>0.1891225921572319</c:v>
                </c:pt>
              </c:numCache>
            </c:numRef>
          </c:val>
          <c:extLst>
            <c:ext xmlns:c16="http://schemas.microsoft.com/office/drawing/2014/chart" uri="{C3380CC4-5D6E-409C-BE32-E72D297353CC}">
              <c16:uniqueId val="{00000002-07AF-452A-A73D-4BB366FB3284}"/>
            </c:ext>
          </c:extLst>
        </c:ser>
        <c:dLbls>
          <c:showLegendKey val="0"/>
          <c:showVal val="1"/>
          <c:showCatName val="0"/>
          <c:showSerName val="0"/>
          <c:showPercent val="0"/>
          <c:showBubbleSize val="0"/>
        </c:dLbls>
        <c:gapWidth val="150"/>
        <c:shape val="box"/>
        <c:axId val="679884752"/>
        <c:axId val="670393696"/>
        <c:axId val="0"/>
      </c:bar3DChart>
      <c:catAx>
        <c:axId val="679884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93696"/>
        <c:crosses val="autoZero"/>
        <c:auto val="1"/>
        <c:lblAlgn val="ctr"/>
        <c:lblOffset val="100"/>
        <c:noMultiLvlLbl val="0"/>
      </c:catAx>
      <c:valAx>
        <c:axId val="670393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84752"/>
        <c:crosses val="autoZero"/>
        <c:crossBetween val="between"/>
      </c:valAx>
      <c:spPr>
        <a:noFill/>
        <a:ln>
          <a:noFill/>
        </a:ln>
        <a:effectLst/>
      </c:spPr>
    </c:plotArea>
    <c:legend>
      <c:legendPos val="r"/>
      <c:layout>
        <c:manualLayout>
          <c:xMode val="edge"/>
          <c:yMode val="edge"/>
          <c:x val="0.77402274715660546"/>
          <c:y val="0.3351381598133566"/>
          <c:w val="0.2093105861767279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SL Dashboard.xlsx]Sheet3!PivotTable5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Order Quantity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Sheet3!$D$4:$D$10</c:f>
              <c:strCache>
                <c:ptCount val="6"/>
                <c:pt idx="0">
                  <c:v>Chocos</c:v>
                </c:pt>
                <c:pt idx="1">
                  <c:v>Flour</c:v>
                </c:pt>
                <c:pt idx="2">
                  <c:v>Gram Flour </c:v>
                </c:pt>
                <c:pt idx="3">
                  <c:v>Mango</c:v>
                </c:pt>
                <c:pt idx="4">
                  <c:v>Rice</c:v>
                </c:pt>
                <c:pt idx="5">
                  <c:v>Spices</c:v>
                </c:pt>
              </c:strCache>
            </c:strRef>
          </c:cat>
          <c:val>
            <c:numRef>
              <c:f>Sheet3!$E$4:$E$10</c:f>
              <c:numCache>
                <c:formatCode>General</c:formatCode>
                <c:ptCount val="6"/>
                <c:pt idx="0">
                  <c:v>9</c:v>
                </c:pt>
                <c:pt idx="1">
                  <c:v>9</c:v>
                </c:pt>
                <c:pt idx="2">
                  <c:v>8</c:v>
                </c:pt>
                <c:pt idx="3">
                  <c:v>8</c:v>
                </c:pt>
                <c:pt idx="4">
                  <c:v>15</c:v>
                </c:pt>
                <c:pt idx="5">
                  <c:v>12</c:v>
                </c:pt>
              </c:numCache>
            </c:numRef>
          </c:val>
          <c:extLst>
            <c:ext xmlns:c16="http://schemas.microsoft.com/office/drawing/2014/chart" uri="{C3380CC4-5D6E-409C-BE32-E72D297353CC}">
              <c16:uniqueId val="{00000000-5892-4A96-A0FA-494DBCECF31E}"/>
            </c:ext>
          </c:extLst>
        </c:ser>
        <c:dLbls>
          <c:dLblPos val="outEnd"/>
          <c:showLegendKey val="0"/>
          <c:showVal val="1"/>
          <c:showCatName val="0"/>
          <c:showSerName val="0"/>
          <c:showPercent val="0"/>
          <c:showBubbleSize val="0"/>
        </c:dLbls>
        <c:gapWidth val="219"/>
        <c:overlap val="-27"/>
        <c:axId val="1881057967"/>
        <c:axId val="1984077183"/>
      </c:barChart>
      <c:catAx>
        <c:axId val="188105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077183"/>
        <c:crosses val="autoZero"/>
        <c:auto val="1"/>
        <c:lblAlgn val="ctr"/>
        <c:lblOffset val="100"/>
        <c:noMultiLvlLbl val="0"/>
      </c:catAx>
      <c:valAx>
        <c:axId val="198407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5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12094</xdr:colOff>
      <xdr:row>0</xdr:row>
      <xdr:rowOff>12095</xdr:rowOff>
    </xdr:from>
    <xdr:to>
      <xdr:col>19</xdr:col>
      <xdr:colOff>171450</xdr:colOff>
      <xdr:row>1</xdr:row>
      <xdr:rowOff>72572</xdr:rowOff>
    </xdr:to>
    <xdr:sp macro="" textlink="">
      <xdr:nvSpPr>
        <xdr:cNvPr id="2" name="Rectangle: Rounded Corners 1">
          <a:extLst>
            <a:ext uri="{FF2B5EF4-FFF2-40B4-BE49-F238E27FC236}">
              <a16:creationId xmlns:a16="http://schemas.microsoft.com/office/drawing/2014/main" id="{35D6ECD4-2C2E-4BB6-8E70-F648627EF64D}"/>
            </a:ext>
          </a:extLst>
        </xdr:cNvPr>
        <xdr:cNvSpPr/>
      </xdr:nvSpPr>
      <xdr:spPr>
        <a:xfrm>
          <a:off x="12094" y="12095"/>
          <a:ext cx="11741756" cy="243357"/>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100" b="1" i="1">
              <a:solidFill>
                <a:srgbClr val="FF0000"/>
              </a:solidFill>
            </a:rPr>
            <a:t>                                                                                                                                              SUPER</a:t>
          </a:r>
          <a:r>
            <a:rPr lang="en-IN" sz="1100" b="1" i="1" baseline="0">
              <a:solidFill>
                <a:srgbClr val="FF0000"/>
              </a:solidFill>
            </a:rPr>
            <a:t> MARKET DASHBOARD</a:t>
          </a:r>
          <a:endParaRPr lang="en-IN" sz="1100" b="1" i="1">
            <a:solidFill>
              <a:srgbClr val="FF0000"/>
            </a:solidFill>
          </a:endParaRPr>
        </a:p>
      </xdr:txBody>
    </xdr:sp>
    <xdr:clientData/>
  </xdr:twoCellAnchor>
  <xdr:twoCellAnchor>
    <xdr:from>
      <xdr:col>0</xdr:col>
      <xdr:colOff>25400</xdr:colOff>
      <xdr:row>1</xdr:row>
      <xdr:rowOff>82550</xdr:rowOff>
    </xdr:from>
    <xdr:to>
      <xdr:col>2</xdr:col>
      <xdr:colOff>565150</xdr:colOff>
      <xdr:row>23</xdr:row>
      <xdr:rowOff>120650</xdr:rowOff>
    </xdr:to>
    <xdr:sp macro="" textlink="">
      <xdr:nvSpPr>
        <xdr:cNvPr id="3" name="Rectangle 2">
          <a:extLst>
            <a:ext uri="{FF2B5EF4-FFF2-40B4-BE49-F238E27FC236}">
              <a16:creationId xmlns:a16="http://schemas.microsoft.com/office/drawing/2014/main" id="{1FD915CE-78F7-4EAE-884F-EAC73D0BDB5F}"/>
            </a:ext>
          </a:extLst>
        </xdr:cNvPr>
        <xdr:cNvSpPr/>
      </xdr:nvSpPr>
      <xdr:spPr>
        <a:xfrm>
          <a:off x="25400" y="265430"/>
          <a:ext cx="1758950" cy="4061460"/>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577850</xdr:colOff>
      <xdr:row>1</xdr:row>
      <xdr:rowOff>88900</xdr:rowOff>
    </xdr:from>
    <xdr:to>
      <xdr:col>5</xdr:col>
      <xdr:colOff>590550</xdr:colOff>
      <xdr:row>4</xdr:row>
      <xdr:rowOff>120650</xdr:rowOff>
    </xdr:to>
    <xdr:sp macro="" textlink="">
      <xdr:nvSpPr>
        <xdr:cNvPr id="4" name="Rectangle: Rounded Corners 3">
          <a:extLst>
            <a:ext uri="{FF2B5EF4-FFF2-40B4-BE49-F238E27FC236}">
              <a16:creationId xmlns:a16="http://schemas.microsoft.com/office/drawing/2014/main" id="{F86CD2DB-3112-4FAE-BF80-FB49810A5D63}"/>
            </a:ext>
          </a:extLst>
        </xdr:cNvPr>
        <xdr:cNvSpPr/>
      </xdr:nvSpPr>
      <xdr:spPr>
        <a:xfrm>
          <a:off x="1797050" y="271780"/>
          <a:ext cx="1841500" cy="58039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6350</xdr:colOff>
      <xdr:row>1</xdr:row>
      <xdr:rowOff>82550</xdr:rowOff>
    </xdr:from>
    <xdr:to>
      <xdr:col>9</xdr:col>
      <xdr:colOff>50800</xdr:colOff>
      <xdr:row>4</xdr:row>
      <xdr:rowOff>107950</xdr:rowOff>
    </xdr:to>
    <xdr:sp macro="" textlink="">
      <xdr:nvSpPr>
        <xdr:cNvPr id="5" name="Rectangle: Rounded Corners 4">
          <a:extLst>
            <a:ext uri="{FF2B5EF4-FFF2-40B4-BE49-F238E27FC236}">
              <a16:creationId xmlns:a16="http://schemas.microsoft.com/office/drawing/2014/main" id="{B9D45377-E7E5-4001-A32E-DFB0F849F083}"/>
            </a:ext>
          </a:extLst>
        </xdr:cNvPr>
        <xdr:cNvSpPr/>
      </xdr:nvSpPr>
      <xdr:spPr>
        <a:xfrm>
          <a:off x="3663950" y="265430"/>
          <a:ext cx="1873250" cy="574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82550</xdr:colOff>
      <xdr:row>1</xdr:row>
      <xdr:rowOff>82550</xdr:rowOff>
    </xdr:from>
    <xdr:to>
      <xdr:col>12</xdr:col>
      <xdr:colOff>19050</xdr:colOff>
      <xdr:row>4</xdr:row>
      <xdr:rowOff>107950</xdr:rowOff>
    </xdr:to>
    <xdr:sp macro="" textlink="">
      <xdr:nvSpPr>
        <xdr:cNvPr id="6" name="Rectangle: Rounded Corners 5">
          <a:extLst>
            <a:ext uri="{FF2B5EF4-FFF2-40B4-BE49-F238E27FC236}">
              <a16:creationId xmlns:a16="http://schemas.microsoft.com/office/drawing/2014/main" id="{F59E97C6-2040-4592-90D6-BF06BE59FA30}"/>
            </a:ext>
          </a:extLst>
        </xdr:cNvPr>
        <xdr:cNvSpPr/>
      </xdr:nvSpPr>
      <xdr:spPr>
        <a:xfrm>
          <a:off x="5568950" y="265430"/>
          <a:ext cx="1765300" cy="574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57150</xdr:colOff>
      <xdr:row>1</xdr:row>
      <xdr:rowOff>95250</xdr:rowOff>
    </xdr:from>
    <xdr:to>
      <xdr:col>14</xdr:col>
      <xdr:colOff>596900</xdr:colOff>
      <xdr:row>4</xdr:row>
      <xdr:rowOff>127000</xdr:rowOff>
    </xdr:to>
    <xdr:sp macro="" textlink="">
      <xdr:nvSpPr>
        <xdr:cNvPr id="7" name="Rectangle: Rounded Corners 6">
          <a:extLst>
            <a:ext uri="{FF2B5EF4-FFF2-40B4-BE49-F238E27FC236}">
              <a16:creationId xmlns:a16="http://schemas.microsoft.com/office/drawing/2014/main" id="{02084C28-4506-42B0-BC2F-5841C5A0B268}"/>
            </a:ext>
          </a:extLst>
        </xdr:cNvPr>
        <xdr:cNvSpPr/>
      </xdr:nvSpPr>
      <xdr:spPr>
        <a:xfrm>
          <a:off x="7372350" y="278130"/>
          <a:ext cx="1758950" cy="58039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222250</xdr:colOff>
      <xdr:row>4</xdr:row>
      <xdr:rowOff>0</xdr:rowOff>
    </xdr:from>
    <xdr:to>
      <xdr:col>2</xdr:col>
      <xdr:colOff>393700</xdr:colOff>
      <xdr:row>5</xdr:row>
      <xdr:rowOff>120650</xdr:rowOff>
    </xdr:to>
    <xdr:sp macro="" textlink="">
      <xdr:nvSpPr>
        <xdr:cNvPr id="8" name="Rectangle: Rounded Corners 7">
          <a:extLst>
            <a:ext uri="{FF2B5EF4-FFF2-40B4-BE49-F238E27FC236}">
              <a16:creationId xmlns:a16="http://schemas.microsoft.com/office/drawing/2014/main" id="{E5CC438F-38AA-4FE0-BE74-A4ACEBC9805E}"/>
            </a:ext>
          </a:extLst>
        </xdr:cNvPr>
        <xdr:cNvSpPr/>
      </xdr:nvSpPr>
      <xdr:spPr>
        <a:xfrm>
          <a:off x="222250" y="731520"/>
          <a:ext cx="1390650" cy="30353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i="1"/>
            <a:t>      Overview</a:t>
          </a:r>
        </a:p>
      </xdr:txBody>
    </xdr:sp>
    <xdr:clientData/>
  </xdr:twoCellAnchor>
  <xdr:twoCellAnchor>
    <xdr:from>
      <xdr:col>0</xdr:col>
      <xdr:colOff>241300</xdr:colOff>
      <xdr:row>7</xdr:row>
      <xdr:rowOff>0</xdr:rowOff>
    </xdr:from>
    <xdr:to>
      <xdr:col>2</xdr:col>
      <xdr:colOff>381000</xdr:colOff>
      <xdr:row>8</xdr:row>
      <xdr:rowOff>107950</xdr:rowOff>
    </xdr:to>
    <xdr:sp macro="" textlink="">
      <xdr:nvSpPr>
        <xdr:cNvPr id="9" name="Rectangle 8">
          <a:extLst>
            <a:ext uri="{FF2B5EF4-FFF2-40B4-BE49-F238E27FC236}">
              <a16:creationId xmlns:a16="http://schemas.microsoft.com/office/drawing/2014/main" id="{CE16B98F-3EB2-417E-9576-C72F83128462}"/>
            </a:ext>
          </a:extLst>
        </xdr:cNvPr>
        <xdr:cNvSpPr/>
      </xdr:nvSpPr>
      <xdr:spPr>
        <a:xfrm>
          <a:off x="241300" y="1280160"/>
          <a:ext cx="1358900" cy="29083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  Revenue Analysis</a:t>
          </a:r>
        </a:p>
      </xdr:txBody>
    </xdr:sp>
    <xdr:clientData/>
  </xdr:twoCellAnchor>
  <xdr:twoCellAnchor>
    <xdr:from>
      <xdr:col>0</xdr:col>
      <xdr:colOff>241300</xdr:colOff>
      <xdr:row>8</xdr:row>
      <xdr:rowOff>127000</xdr:rowOff>
    </xdr:from>
    <xdr:to>
      <xdr:col>2</xdr:col>
      <xdr:colOff>381000</xdr:colOff>
      <xdr:row>12</xdr:row>
      <xdr:rowOff>6350</xdr:rowOff>
    </xdr:to>
    <xdr:sp macro="" textlink="">
      <xdr:nvSpPr>
        <xdr:cNvPr id="10" name="Rectangle 9">
          <a:extLst>
            <a:ext uri="{FF2B5EF4-FFF2-40B4-BE49-F238E27FC236}">
              <a16:creationId xmlns:a16="http://schemas.microsoft.com/office/drawing/2014/main" id="{39497371-E75B-49BA-8442-38213D94531A}"/>
            </a:ext>
          </a:extLst>
        </xdr:cNvPr>
        <xdr:cNvSpPr/>
      </xdr:nvSpPr>
      <xdr:spPr>
        <a:xfrm>
          <a:off x="241300" y="1600200"/>
          <a:ext cx="1358900" cy="6159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 Order&amp; Customer</a:t>
          </a:r>
          <a:r>
            <a:rPr lang="en-IN" sz="1100" b="1" i="1" baseline="0"/>
            <a:t> </a:t>
          </a:r>
          <a:r>
            <a:rPr lang="en-IN" sz="1100" b="1" i="1"/>
            <a:t>Analysis</a:t>
          </a:r>
        </a:p>
      </xdr:txBody>
    </xdr:sp>
    <xdr:clientData/>
  </xdr:twoCellAnchor>
  <xdr:twoCellAnchor>
    <xdr:from>
      <xdr:col>3</xdr:col>
      <xdr:colOff>342900</xdr:colOff>
      <xdr:row>1</xdr:row>
      <xdr:rowOff>120650</xdr:rowOff>
    </xdr:from>
    <xdr:to>
      <xdr:col>5</xdr:col>
      <xdr:colOff>495300</xdr:colOff>
      <xdr:row>3</xdr:row>
      <xdr:rowOff>38100</xdr:rowOff>
    </xdr:to>
    <xdr:sp macro="" textlink="">
      <xdr:nvSpPr>
        <xdr:cNvPr id="11" name="Rectangle 10">
          <a:extLst>
            <a:ext uri="{FF2B5EF4-FFF2-40B4-BE49-F238E27FC236}">
              <a16:creationId xmlns:a16="http://schemas.microsoft.com/office/drawing/2014/main" id="{7F68CFC8-8274-484F-BE84-DAD1105D5A45}"/>
            </a:ext>
          </a:extLst>
        </xdr:cNvPr>
        <xdr:cNvSpPr/>
      </xdr:nvSpPr>
      <xdr:spPr>
        <a:xfrm>
          <a:off x="2171700" y="303530"/>
          <a:ext cx="1371600" cy="28321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a:t>
          </a:r>
          <a:r>
            <a:rPr lang="en-IN" sz="1200" b="1" i="1" baseline="0"/>
            <a:t> Revenue</a:t>
          </a:r>
          <a:endParaRPr lang="en-IN" sz="1200" b="1" i="1"/>
        </a:p>
      </xdr:txBody>
    </xdr:sp>
    <xdr:clientData/>
  </xdr:twoCellAnchor>
  <xdr:twoCellAnchor>
    <xdr:from>
      <xdr:col>3</xdr:col>
      <xdr:colOff>304800</xdr:colOff>
      <xdr:row>2</xdr:row>
      <xdr:rowOff>158750</xdr:rowOff>
    </xdr:from>
    <xdr:to>
      <xdr:col>5</xdr:col>
      <xdr:colOff>393700</xdr:colOff>
      <xdr:row>4</xdr:row>
      <xdr:rowOff>12700</xdr:rowOff>
    </xdr:to>
    <xdr:sp macro="" textlink="Sheet3!$D$4">
      <xdr:nvSpPr>
        <xdr:cNvPr id="12" name="Rectangle 11">
          <a:extLst>
            <a:ext uri="{FF2B5EF4-FFF2-40B4-BE49-F238E27FC236}">
              <a16:creationId xmlns:a16="http://schemas.microsoft.com/office/drawing/2014/main" id="{56C518D8-8C8D-4667-BF69-5006ADD96EEA}"/>
            </a:ext>
          </a:extLst>
        </xdr:cNvPr>
        <xdr:cNvSpPr/>
      </xdr:nvSpPr>
      <xdr:spPr>
        <a:xfrm>
          <a:off x="2133600" y="524510"/>
          <a:ext cx="1308100" cy="2197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r>
            <a:rPr lang="en-US" sz="1100" b="0" i="0" u="none" strike="noStrike" baseline="0">
              <a:solidFill>
                <a:srgbClr val="000000"/>
              </a:solidFill>
              <a:latin typeface="Calibri"/>
              <a:ea typeface="Calibri"/>
              <a:cs typeface="Calibri"/>
            </a:rPr>
            <a:t> </a:t>
          </a:r>
          <a:fld id="{0055FBA3-2EF2-4B54-A668-3B2D32493229}" type="TxLink">
            <a:rPr lang="en-US" sz="1100" b="0" i="0" u="none" strike="noStrike">
              <a:solidFill>
                <a:srgbClr val="000000"/>
              </a:solidFill>
              <a:latin typeface="Calibri"/>
              <a:ea typeface="Calibri"/>
              <a:cs typeface="Calibri"/>
            </a:rPr>
            <a:pPr algn="l"/>
            <a:t>11578.31</a:t>
          </a:fld>
          <a:endParaRPr lang="en-IN" sz="1100"/>
        </a:p>
      </xdr:txBody>
    </xdr:sp>
    <xdr:clientData/>
  </xdr:twoCellAnchor>
  <xdr:twoCellAnchor>
    <xdr:from>
      <xdr:col>6</xdr:col>
      <xdr:colOff>425450</xdr:colOff>
      <xdr:row>1</xdr:row>
      <xdr:rowOff>107950</xdr:rowOff>
    </xdr:from>
    <xdr:to>
      <xdr:col>8</xdr:col>
      <xdr:colOff>539750</xdr:colOff>
      <xdr:row>2</xdr:row>
      <xdr:rowOff>127000</xdr:rowOff>
    </xdr:to>
    <xdr:sp macro="" textlink="">
      <xdr:nvSpPr>
        <xdr:cNvPr id="13" name="Rectangle 12">
          <a:extLst>
            <a:ext uri="{FF2B5EF4-FFF2-40B4-BE49-F238E27FC236}">
              <a16:creationId xmlns:a16="http://schemas.microsoft.com/office/drawing/2014/main" id="{AFF1F471-BE6E-4A40-A342-3EC788002E5C}"/>
            </a:ext>
          </a:extLst>
        </xdr:cNvPr>
        <xdr:cNvSpPr/>
      </xdr:nvSpPr>
      <xdr:spPr>
        <a:xfrm>
          <a:off x="4083050" y="290830"/>
          <a:ext cx="1333500" cy="20193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 Orders</a:t>
          </a:r>
        </a:p>
      </xdr:txBody>
    </xdr:sp>
    <xdr:clientData/>
  </xdr:twoCellAnchor>
  <xdr:twoCellAnchor>
    <xdr:from>
      <xdr:col>6</xdr:col>
      <xdr:colOff>374650</xdr:colOff>
      <xdr:row>3</xdr:row>
      <xdr:rowOff>19050</xdr:rowOff>
    </xdr:from>
    <xdr:to>
      <xdr:col>8</xdr:col>
      <xdr:colOff>463550</xdr:colOff>
      <xdr:row>4</xdr:row>
      <xdr:rowOff>25400</xdr:rowOff>
    </xdr:to>
    <xdr:sp macro="" textlink="Sheet3!$G$47">
      <xdr:nvSpPr>
        <xdr:cNvPr id="14" name="Rectangle 13">
          <a:extLst>
            <a:ext uri="{FF2B5EF4-FFF2-40B4-BE49-F238E27FC236}">
              <a16:creationId xmlns:a16="http://schemas.microsoft.com/office/drawing/2014/main" id="{CCBCE735-68D4-420A-8976-CB33A0288D3A}"/>
            </a:ext>
          </a:extLst>
        </xdr:cNvPr>
        <xdr:cNvSpPr/>
      </xdr:nvSpPr>
      <xdr:spPr>
        <a:xfrm>
          <a:off x="4032250" y="567690"/>
          <a:ext cx="1308100" cy="18923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52</a:t>
          </a:r>
          <a:endParaRPr lang="en-IN" sz="1100"/>
        </a:p>
      </xdr:txBody>
    </xdr:sp>
    <xdr:clientData/>
  </xdr:twoCellAnchor>
  <xdr:twoCellAnchor>
    <xdr:from>
      <xdr:col>9</xdr:col>
      <xdr:colOff>406400</xdr:colOff>
      <xdr:row>1</xdr:row>
      <xdr:rowOff>127000</xdr:rowOff>
    </xdr:from>
    <xdr:to>
      <xdr:col>11</xdr:col>
      <xdr:colOff>495300</xdr:colOff>
      <xdr:row>2</xdr:row>
      <xdr:rowOff>158750</xdr:rowOff>
    </xdr:to>
    <xdr:sp macro="" textlink="">
      <xdr:nvSpPr>
        <xdr:cNvPr id="15" name="Rectangle 14">
          <a:extLst>
            <a:ext uri="{FF2B5EF4-FFF2-40B4-BE49-F238E27FC236}">
              <a16:creationId xmlns:a16="http://schemas.microsoft.com/office/drawing/2014/main" id="{978F043D-27E4-4134-8FD4-1AF36180144B}"/>
            </a:ext>
          </a:extLst>
        </xdr:cNvPr>
        <xdr:cNvSpPr/>
      </xdr:nvSpPr>
      <xdr:spPr>
        <a:xfrm>
          <a:off x="5892800" y="309880"/>
          <a:ext cx="1308100" cy="21463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 Quantity</a:t>
          </a:r>
        </a:p>
      </xdr:txBody>
    </xdr:sp>
    <xdr:clientData/>
  </xdr:twoCellAnchor>
  <xdr:twoCellAnchor>
    <xdr:from>
      <xdr:col>9</xdr:col>
      <xdr:colOff>406400</xdr:colOff>
      <xdr:row>2</xdr:row>
      <xdr:rowOff>177800</xdr:rowOff>
    </xdr:from>
    <xdr:to>
      <xdr:col>11</xdr:col>
      <xdr:colOff>495300</xdr:colOff>
      <xdr:row>4</xdr:row>
      <xdr:rowOff>19050</xdr:rowOff>
    </xdr:to>
    <xdr:sp macro="" textlink="Sheet3!$F$4">
      <xdr:nvSpPr>
        <xdr:cNvPr id="16" name="Rectangle 15">
          <a:extLst>
            <a:ext uri="{FF2B5EF4-FFF2-40B4-BE49-F238E27FC236}">
              <a16:creationId xmlns:a16="http://schemas.microsoft.com/office/drawing/2014/main" id="{29DF7F09-87E2-4D73-BC18-3C67572B3F49}"/>
            </a:ext>
          </a:extLst>
        </xdr:cNvPr>
        <xdr:cNvSpPr/>
      </xdr:nvSpPr>
      <xdr:spPr>
        <a:xfrm>
          <a:off x="5892800" y="543560"/>
          <a:ext cx="1308100" cy="2070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245180AC-7EBB-4EB0-867D-822F3F9A463C}" type="TxLink">
            <a:rPr lang="en-US" sz="1100" b="0" i="0" u="none" strike="noStrike">
              <a:solidFill>
                <a:srgbClr val="000000"/>
              </a:solidFill>
              <a:latin typeface="Calibri"/>
              <a:ea typeface="Calibri"/>
              <a:cs typeface="Calibri"/>
            </a:rPr>
            <a:pPr algn="l"/>
            <a:t>169</a:t>
          </a:fld>
          <a:endParaRPr lang="en-IN" sz="1100"/>
        </a:p>
      </xdr:txBody>
    </xdr:sp>
    <xdr:clientData/>
  </xdr:twoCellAnchor>
  <xdr:twoCellAnchor>
    <xdr:from>
      <xdr:col>12</xdr:col>
      <xdr:colOff>330200</xdr:colOff>
      <xdr:row>1</xdr:row>
      <xdr:rowOff>133350</xdr:rowOff>
    </xdr:from>
    <xdr:to>
      <xdr:col>14</xdr:col>
      <xdr:colOff>419100</xdr:colOff>
      <xdr:row>2</xdr:row>
      <xdr:rowOff>171450</xdr:rowOff>
    </xdr:to>
    <xdr:sp macro="" textlink="">
      <xdr:nvSpPr>
        <xdr:cNvPr id="17" name="Rectangle 16">
          <a:extLst>
            <a:ext uri="{FF2B5EF4-FFF2-40B4-BE49-F238E27FC236}">
              <a16:creationId xmlns:a16="http://schemas.microsoft.com/office/drawing/2014/main" id="{96706E65-47EA-45E8-A9B9-35E85A8CF37A}"/>
            </a:ext>
          </a:extLst>
        </xdr:cNvPr>
        <xdr:cNvSpPr/>
      </xdr:nvSpPr>
      <xdr:spPr>
        <a:xfrm>
          <a:off x="7645400" y="316230"/>
          <a:ext cx="1308100" cy="22098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 Tax</a:t>
          </a:r>
        </a:p>
      </xdr:txBody>
    </xdr:sp>
    <xdr:clientData/>
  </xdr:twoCellAnchor>
  <xdr:twoCellAnchor>
    <xdr:from>
      <xdr:col>12</xdr:col>
      <xdr:colOff>342900</xdr:colOff>
      <xdr:row>2</xdr:row>
      <xdr:rowOff>171450</xdr:rowOff>
    </xdr:from>
    <xdr:to>
      <xdr:col>14</xdr:col>
      <xdr:colOff>431800</xdr:colOff>
      <xdr:row>4</xdr:row>
      <xdr:rowOff>25400</xdr:rowOff>
    </xdr:to>
    <xdr:sp macro="" textlink="Sheet3!$E$4">
      <xdr:nvSpPr>
        <xdr:cNvPr id="18" name="Rectangle 17">
          <a:extLst>
            <a:ext uri="{FF2B5EF4-FFF2-40B4-BE49-F238E27FC236}">
              <a16:creationId xmlns:a16="http://schemas.microsoft.com/office/drawing/2014/main" id="{47839373-8A9F-41CA-A313-C69002989A94}"/>
            </a:ext>
          </a:extLst>
        </xdr:cNvPr>
        <xdr:cNvSpPr/>
      </xdr:nvSpPr>
      <xdr:spPr>
        <a:xfrm>
          <a:off x="7658100" y="537210"/>
          <a:ext cx="1308100" cy="2197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12CC8ACB-A7A6-462E-8927-05B7D92F4C3A}" type="TxLink">
            <a:rPr lang="en-US" sz="1100" b="0" i="0" u="none" strike="noStrike">
              <a:solidFill>
                <a:srgbClr val="000000"/>
              </a:solidFill>
              <a:latin typeface="Calibri"/>
              <a:ea typeface="Calibri"/>
              <a:cs typeface="Calibri"/>
            </a:rPr>
            <a:pPr algn="l"/>
            <a:t>1157.831</a:t>
          </a:fld>
          <a:endParaRPr lang="en-IN" sz="1100"/>
        </a:p>
      </xdr:txBody>
    </xdr:sp>
    <xdr:clientData/>
  </xdr:twoCellAnchor>
  <xdr:twoCellAnchor>
    <xdr:from>
      <xdr:col>0</xdr:col>
      <xdr:colOff>234950</xdr:colOff>
      <xdr:row>12</xdr:row>
      <xdr:rowOff>31750</xdr:rowOff>
    </xdr:from>
    <xdr:to>
      <xdr:col>2</xdr:col>
      <xdr:colOff>387350</xdr:colOff>
      <xdr:row>15</xdr:row>
      <xdr:rowOff>120650</xdr:rowOff>
    </xdr:to>
    <xdr:sp macro="" textlink="">
      <xdr:nvSpPr>
        <xdr:cNvPr id="19" name="Rectangle 18">
          <a:extLst>
            <a:ext uri="{FF2B5EF4-FFF2-40B4-BE49-F238E27FC236}">
              <a16:creationId xmlns:a16="http://schemas.microsoft.com/office/drawing/2014/main" id="{66E628DF-F4C4-445F-9EED-032C80EA976E}"/>
            </a:ext>
          </a:extLst>
        </xdr:cNvPr>
        <xdr:cNvSpPr/>
      </xdr:nvSpPr>
      <xdr:spPr>
        <a:xfrm>
          <a:off x="234950" y="2241550"/>
          <a:ext cx="1371600" cy="6413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Shipping Performance &amp; Tax</a:t>
          </a:r>
        </a:p>
      </xdr:txBody>
    </xdr:sp>
    <xdr:clientData/>
  </xdr:twoCellAnchor>
  <xdr:twoCellAnchor>
    <xdr:from>
      <xdr:col>8</xdr:col>
      <xdr:colOff>12700</xdr:colOff>
      <xdr:row>4</xdr:row>
      <xdr:rowOff>139700</xdr:rowOff>
    </xdr:from>
    <xdr:to>
      <xdr:col>14</xdr:col>
      <xdr:colOff>590550</xdr:colOff>
      <xdr:row>13</xdr:row>
      <xdr:rowOff>101600</xdr:rowOff>
    </xdr:to>
    <xdr:sp macro="" textlink="">
      <xdr:nvSpPr>
        <xdr:cNvPr id="21" name="Rectangle 20">
          <a:extLst>
            <a:ext uri="{FF2B5EF4-FFF2-40B4-BE49-F238E27FC236}">
              <a16:creationId xmlns:a16="http://schemas.microsoft.com/office/drawing/2014/main" id="{E7A29D7F-79C8-4A0F-80BC-9DDA6A06E220}"/>
            </a:ext>
          </a:extLst>
        </xdr:cNvPr>
        <xdr:cNvSpPr/>
      </xdr:nvSpPr>
      <xdr:spPr>
        <a:xfrm>
          <a:off x="4889500" y="876300"/>
          <a:ext cx="4235450" cy="16192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577850</xdr:colOff>
      <xdr:row>4</xdr:row>
      <xdr:rowOff>133350</xdr:rowOff>
    </xdr:from>
    <xdr:to>
      <xdr:col>7</xdr:col>
      <xdr:colOff>596900</xdr:colOff>
      <xdr:row>23</xdr:row>
      <xdr:rowOff>88900</xdr:rowOff>
    </xdr:to>
    <xdr:sp macro="" textlink="">
      <xdr:nvSpPr>
        <xdr:cNvPr id="22" name="Rectangle 21">
          <a:extLst>
            <a:ext uri="{FF2B5EF4-FFF2-40B4-BE49-F238E27FC236}">
              <a16:creationId xmlns:a16="http://schemas.microsoft.com/office/drawing/2014/main" id="{C2BB8330-943B-45D8-8491-D5B83D632F40}"/>
            </a:ext>
          </a:extLst>
        </xdr:cNvPr>
        <xdr:cNvSpPr/>
      </xdr:nvSpPr>
      <xdr:spPr>
        <a:xfrm>
          <a:off x="1797050" y="869950"/>
          <a:ext cx="3067050" cy="3454400"/>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19050</xdr:colOff>
      <xdr:row>13</xdr:row>
      <xdr:rowOff>133350</xdr:rowOff>
    </xdr:from>
    <xdr:to>
      <xdr:col>14</xdr:col>
      <xdr:colOff>12700</xdr:colOff>
      <xdr:row>23</xdr:row>
      <xdr:rowOff>101600</xdr:rowOff>
    </xdr:to>
    <xdr:sp macro="" textlink="">
      <xdr:nvSpPr>
        <xdr:cNvPr id="23" name="Rectangle 22">
          <a:extLst>
            <a:ext uri="{FF2B5EF4-FFF2-40B4-BE49-F238E27FC236}">
              <a16:creationId xmlns:a16="http://schemas.microsoft.com/office/drawing/2014/main" id="{AA462DFD-4FE1-4078-9278-ED65C3AF6087}"/>
            </a:ext>
          </a:extLst>
        </xdr:cNvPr>
        <xdr:cNvSpPr/>
      </xdr:nvSpPr>
      <xdr:spPr>
        <a:xfrm>
          <a:off x="4895850" y="2527300"/>
          <a:ext cx="3651250" cy="18097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15</xdr:col>
      <xdr:colOff>12700</xdr:colOff>
      <xdr:row>1</xdr:row>
      <xdr:rowOff>82551</xdr:rowOff>
    </xdr:from>
    <xdr:to>
      <xdr:col>19</xdr:col>
      <xdr:colOff>190500</xdr:colOff>
      <xdr:row>6</xdr:row>
      <xdr:rowOff>44450</xdr:rowOff>
    </xdr:to>
    <mc:AlternateContent xmlns:mc="http://schemas.openxmlformats.org/markup-compatibility/2006" xmlns:a14="http://schemas.microsoft.com/office/drawing/2010/main">
      <mc:Choice Requires="a14">
        <xdr:graphicFrame macro="">
          <xdr:nvGraphicFramePr>
            <xdr:cNvPr id="25" name="year 2">
              <a:extLst>
                <a:ext uri="{FF2B5EF4-FFF2-40B4-BE49-F238E27FC236}">
                  <a16:creationId xmlns:a16="http://schemas.microsoft.com/office/drawing/2014/main" id="{CD32AC7F-8BB3-4183-93E2-E51F72E3BC6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156700" y="266701"/>
              <a:ext cx="2616200" cy="882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25400</xdr:colOff>
      <xdr:row>6</xdr:row>
      <xdr:rowOff>69850</xdr:rowOff>
    </xdr:from>
    <xdr:to>
      <xdr:col>19</xdr:col>
      <xdr:colOff>184150</xdr:colOff>
      <xdr:row>13</xdr:row>
      <xdr:rowOff>126999</xdr:rowOff>
    </xdr:to>
    <mc:AlternateContent xmlns:mc="http://schemas.openxmlformats.org/markup-compatibility/2006" xmlns:a14="http://schemas.microsoft.com/office/drawing/2010/main">
      <mc:Choice Requires="a14">
        <xdr:graphicFrame macro="">
          <xdr:nvGraphicFramePr>
            <xdr:cNvPr id="26" name="month 2">
              <a:extLst>
                <a:ext uri="{FF2B5EF4-FFF2-40B4-BE49-F238E27FC236}">
                  <a16:creationId xmlns:a16="http://schemas.microsoft.com/office/drawing/2014/main" id="{F9BFBC9F-7580-48E0-9E37-5C27D39A5CEE}"/>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9169400" y="1174750"/>
              <a:ext cx="2597150" cy="1346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584200</xdr:colOff>
      <xdr:row>4</xdr:row>
      <xdr:rowOff>82550</xdr:rowOff>
    </xdr:from>
    <xdr:to>
      <xdr:col>8</xdr:col>
      <xdr:colOff>38100</xdr:colOff>
      <xdr:row>23</xdr:row>
      <xdr:rowOff>146050</xdr:rowOff>
    </xdr:to>
    <xdr:graphicFrame macro="">
      <xdr:nvGraphicFramePr>
        <xdr:cNvPr id="30" name="Chart 29">
          <a:extLst>
            <a:ext uri="{FF2B5EF4-FFF2-40B4-BE49-F238E27FC236}">
              <a16:creationId xmlns:a16="http://schemas.microsoft.com/office/drawing/2014/main" id="{64374061-6BF8-4377-B9B3-5F20B779A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25400</xdr:colOff>
      <xdr:row>13</xdr:row>
      <xdr:rowOff>139700</xdr:rowOff>
    </xdr:from>
    <xdr:to>
      <xdr:col>19</xdr:col>
      <xdr:colOff>196850</xdr:colOff>
      <xdr:row>23</xdr:row>
      <xdr:rowOff>107950</xdr:rowOff>
    </xdr:to>
    <xdr:sp macro="" textlink="">
      <xdr:nvSpPr>
        <xdr:cNvPr id="31" name="Rectangle 30">
          <a:extLst>
            <a:ext uri="{FF2B5EF4-FFF2-40B4-BE49-F238E27FC236}">
              <a16:creationId xmlns:a16="http://schemas.microsoft.com/office/drawing/2014/main" id="{2BB69594-7502-43A7-921F-36408769F46A}"/>
            </a:ext>
          </a:extLst>
        </xdr:cNvPr>
        <xdr:cNvSpPr/>
      </xdr:nvSpPr>
      <xdr:spPr>
        <a:xfrm>
          <a:off x="8559800" y="2533650"/>
          <a:ext cx="3219450" cy="18097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25400</xdr:colOff>
      <xdr:row>13</xdr:row>
      <xdr:rowOff>139700</xdr:rowOff>
    </xdr:from>
    <xdr:to>
      <xdr:col>19</xdr:col>
      <xdr:colOff>184150</xdr:colOff>
      <xdr:row>23</xdr:row>
      <xdr:rowOff>107950</xdr:rowOff>
    </xdr:to>
    <xdr:graphicFrame macro="">
      <xdr:nvGraphicFramePr>
        <xdr:cNvPr id="32" name="Chart 31">
          <a:extLst>
            <a:ext uri="{FF2B5EF4-FFF2-40B4-BE49-F238E27FC236}">
              <a16:creationId xmlns:a16="http://schemas.microsoft.com/office/drawing/2014/main" id="{57D11C67-0606-4151-B8AC-BBF2494C3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31750</xdr:colOff>
      <xdr:row>13</xdr:row>
      <xdr:rowOff>133350</xdr:rowOff>
    </xdr:from>
    <xdr:to>
      <xdr:col>13</xdr:col>
      <xdr:colOff>596900</xdr:colOff>
      <xdr:row>23</xdr:row>
      <xdr:rowOff>82550</xdr:rowOff>
    </xdr:to>
    <xdr:graphicFrame macro="">
      <xdr:nvGraphicFramePr>
        <xdr:cNvPr id="33" name="Chart 32">
          <a:extLst>
            <a:ext uri="{FF2B5EF4-FFF2-40B4-BE49-F238E27FC236}">
              <a16:creationId xmlns:a16="http://schemas.microsoft.com/office/drawing/2014/main" id="{8E50164E-1BC1-433C-A197-B4FD27C1D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12700</xdr:colOff>
      <xdr:row>4</xdr:row>
      <xdr:rowOff>107950</xdr:rowOff>
    </xdr:from>
    <xdr:to>
      <xdr:col>15</xdr:col>
      <xdr:colOff>19050</xdr:colOff>
      <xdr:row>13</xdr:row>
      <xdr:rowOff>127000</xdr:rowOff>
    </xdr:to>
    <xdr:graphicFrame macro="">
      <xdr:nvGraphicFramePr>
        <xdr:cNvPr id="34" name="Chart 33">
          <a:extLst>
            <a:ext uri="{FF2B5EF4-FFF2-40B4-BE49-F238E27FC236}">
              <a16:creationId xmlns:a16="http://schemas.microsoft.com/office/drawing/2014/main" id="{EDB9E945-98F3-4D9F-A812-2401DD33B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12094</xdr:colOff>
      <xdr:row>0</xdr:row>
      <xdr:rowOff>12095</xdr:rowOff>
    </xdr:from>
    <xdr:to>
      <xdr:col>19</xdr:col>
      <xdr:colOff>171450</xdr:colOff>
      <xdr:row>1</xdr:row>
      <xdr:rowOff>72572</xdr:rowOff>
    </xdr:to>
    <xdr:sp macro="" textlink="">
      <xdr:nvSpPr>
        <xdr:cNvPr id="2" name="Rectangle: Rounded Corners 1">
          <a:extLst>
            <a:ext uri="{FF2B5EF4-FFF2-40B4-BE49-F238E27FC236}">
              <a16:creationId xmlns:a16="http://schemas.microsoft.com/office/drawing/2014/main" id="{3FD748B1-509C-49CB-AD5A-8605F919BAED}"/>
            </a:ext>
          </a:extLst>
        </xdr:cNvPr>
        <xdr:cNvSpPr/>
      </xdr:nvSpPr>
      <xdr:spPr>
        <a:xfrm>
          <a:off x="12094" y="12095"/>
          <a:ext cx="11741756" cy="243357"/>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100" b="1" i="1">
              <a:solidFill>
                <a:srgbClr val="FF0000"/>
              </a:solidFill>
            </a:rPr>
            <a:t>                                                                                                                                              SUPER</a:t>
          </a:r>
          <a:r>
            <a:rPr lang="en-IN" sz="1100" b="1" i="1" baseline="0">
              <a:solidFill>
                <a:srgbClr val="FF0000"/>
              </a:solidFill>
            </a:rPr>
            <a:t> MARKET DASHBOARD</a:t>
          </a:r>
          <a:endParaRPr lang="en-IN" sz="1100" b="1" i="1">
            <a:solidFill>
              <a:srgbClr val="FF0000"/>
            </a:solidFill>
          </a:endParaRPr>
        </a:p>
      </xdr:txBody>
    </xdr:sp>
    <xdr:clientData/>
  </xdr:twoCellAnchor>
  <xdr:twoCellAnchor>
    <xdr:from>
      <xdr:col>0</xdr:col>
      <xdr:colOff>25400</xdr:colOff>
      <xdr:row>1</xdr:row>
      <xdr:rowOff>82550</xdr:rowOff>
    </xdr:from>
    <xdr:to>
      <xdr:col>2</xdr:col>
      <xdr:colOff>565150</xdr:colOff>
      <xdr:row>23</xdr:row>
      <xdr:rowOff>120650</xdr:rowOff>
    </xdr:to>
    <xdr:sp macro="" textlink="">
      <xdr:nvSpPr>
        <xdr:cNvPr id="3" name="Rectangle 2">
          <a:extLst>
            <a:ext uri="{FF2B5EF4-FFF2-40B4-BE49-F238E27FC236}">
              <a16:creationId xmlns:a16="http://schemas.microsoft.com/office/drawing/2014/main" id="{0718BF84-0736-4795-BE63-4CF1B1DE41FD}"/>
            </a:ext>
          </a:extLst>
        </xdr:cNvPr>
        <xdr:cNvSpPr/>
      </xdr:nvSpPr>
      <xdr:spPr>
        <a:xfrm>
          <a:off x="25400" y="265430"/>
          <a:ext cx="1758950" cy="4061460"/>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577850</xdr:colOff>
      <xdr:row>1</xdr:row>
      <xdr:rowOff>88900</xdr:rowOff>
    </xdr:from>
    <xdr:to>
      <xdr:col>5</xdr:col>
      <xdr:colOff>590550</xdr:colOff>
      <xdr:row>4</xdr:row>
      <xdr:rowOff>120650</xdr:rowOff>
    </xdr:to>
    <xdr:sp macro="" textlink="">
      <xdr:nvSpPr>
        <xdr:cNvPr id="4" name="Rectangle: Rounded Corners 3">
          <a:extLst>
            <a:ext uri="{FF2B5EF4-FFF2-40B4-BE49-F238E27FC236}">
              <a16:creationId xmlns:a16="http://schemas.microsoft.com/office/drawing/2014/main" id="{B5A27632-65B9-4775-9C00-C79EA850D1F9}"/>
            </a:ext>
          </a:extLst>
        </xdr:cNvPr>
        <xdr:cNvSpPr/>
      </xdr:nvSpPr>
      <xdr:spPr>
        <a:xfrm>
          <a:off x="1797050" y="271780"/>
          <a:ext cx="1841500" cy="58039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6350</xdr:colOff>
      <xdr:row>1</xdr:row>
      <xdr:rowOff>82550</xdr:rowOff>
    </xdr:from>
    <xdr:to>
      <xdr:col>9</xdr:col>
      <xdr:colOff>50800</xdr:colOff>
      <xdr:row>4</xdr:row>
      <xdr:rowOff>107950</xdr:rowOff>
    </xdr:to>
    <xdr:sp macro="" textlink="">
      <xdr:nvSpPr>
        <xdr:cNvPr id="5" name="Rectangle: Rounded Corners 4">
          <a:extLst>
            <a:ext uri="{FF2B5EF4-FFF2-40B4-BE49-F238E27FC236}">
              <a16:creationId xmlns:a16="http://schemas.microsoft.com/office/drawing/2014/main" id="{CAB6E9A4-E494-4B2C-9081-B0551EE521EB}"/>
            </a:ext>
          </a:extLst>
        </xdr:cNvPr>
        <xdr:cNvSpPr/>
      </xdr:nvSpPr>
      <xdr:spPr>
        <a:xfrm>
          <a:off x="3663950" y="265430"/>
          <a:ext cx="1873250" cy="574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82550</xdr:colOff>
      <xdr:row>1</xdr:row>
      <xdr:rowOff>82550</xdr:rowOff>
    </xdr:from>
    <xdr:to>
      <xdr:col>12</xdr:col>
      <xdr:colOff>19050</xdr:colOff>
      <xdr:row>4</xdr:row>
      <xdr:rowOff>107950</xdr:rowOff>
    </xdr:to>
    <xdr:sp macro="" textlink="">
      <xdr:nvSpPr>
        <xdr:cNvPr id="6" name="Rectangle: Rounded Corners 5">
          <a:extLst>
            <a:ext uri="{FF2B5EF4-FFF2-40B4-BE49-F238E27FC236}">
              <a16:creationId xmlns:a16="http://schemas.microsoft.com/office/drawing/2014/main" id="{1830ADBA-1694-477D-A1B2-E21E556B2D98}"/>
            </a:ext>
          </a:extLst>
        </xdr:cNvPr>
        <xdr:cNvSpPr/>
      </xdr:nvSpPr>
      <xdr:spPr>
        <a:xfrm>
          <a:off x="5568950" y="265430"/>
          <a:ext cx="1765300" cy="574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57150</xdr:colOff>
      <xdr:row>1</xdr:row>
      <xdr:rowOff>95250</xdr:rowOff>
    </xdr:from>
    <xdr:to>
      <xdr:col>14</xdr:col>
      <xdr:colOff>596900</xdr:colOff>
      <xdr:row>4</xdr:row>
      <xdr:rowOff>127000</xdr:rowOff>
    </xdr:to>
    <xdr:sp macro="" textlink="">
      <xdr:nvSpPr>
        <xdr:cNvPr id="7" name="Rectangle: Rounded Corners 6">
          <a:extLst>
            <a:ext uri="{FF2B5EF4-FFF2-40B4-BE49-F238E27FC236}">
              <a16:creationId xmlns:a16="http://schemas.microsoft.com/office/drawing/2014/main" id="{4A4F8854-5B5D-498A-9355-0B1C2A764948}"/>
            </a:ext>
          </a:extLst>
        </xdr:cNvPr>
        <xdr:cNvSpPr/>
      </xdr:nvSpPr>
      <xdr:spPr>
        <a:xfrm>
          <a:off x="7372350" y="278130"/>
          <a:ext cx="1758950" cy="58039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222250</xdr:colOff>
      <xdr:row>4</xdr:row>
      <xdr:rowOff>0</xdr:rowOff>
    </xdr:from>
    <xdr:to>
      <xdr:col>2</xdr:col>
      <xdr:colOff>393700</xdr:colOff>
      <xdr:row>5</xdr:row>
      <xdr:rowOff>120650</xdr:rowOff>
    </xdr:to>
    <xdr:sp macro="" textlink="">
      <xdr:nvSpPr>
        <xdr:cNvPr id="8" name="Rectangle: Rounded Corners 7">
          <a:extLst>
            <a:ext uri="{FF2B5EF4-FFF2-40B4-BE49-F238E27FC236}">
              <a16:creationId xmlns:a16="http://schemas.microsoft.com/office/drawing/2014/main" id="{101570E6-BCB9-4003-8D9D-75C1C257A268}"/>
            </a:ext>
          </a:extLst>
        </xdr:cNvPr>
        <xdr:cNvSpPr/>
      </xdr:nvSpPr>
      <xdr:spPr>
        <a:xfrm>
          <a:off x="222250" y="731520"/>
          <a:ext cx="1390650" cy="30353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i="1"/>
            <a:t>      Overview</a:t>
          </a:r>
        </a:p>
      </xdr:txBody>
    </xdr:sp>
    <xdr:clientData/>
  </xdr:twoCellAnchor>
  <xdr:twoCellAnchor>
    <xdr:from>
      <xdr:col>0</xdr:col>
      <xdr:colOff>241300</xdr:colOff>
      <xdr:row>7</xdr:row>
      <xdr:rowOff>0</xdr:rowOff>
    </xdr:from>
    <xdr:to>
      <xdr:col>2</xdr:col>
      <xdr:colOff>381000</xdr:colOff>
      <xdr:row>8</xdr:row>
      <xdr:rowOff>107950</xdr:rowOff>
    </xdr:to>
    <xdr:sp macro="" textlink="">
      <xdr:nvSpPr>
        <xdr:cNvPr id="9" name="Rectangle 8">
          <a:extLst>
            <a:ext uri="{FF2B5EF4-FFF2-40B4-BE49-F238E27FC236}">
              <a16:creationId xmlns:a16="http://schemas.microsoft.com/office/drawing/2014/main" id="{AE574897-5003-46C7-B798-E703280F14A7}"/>
            </a:ext>
          </a:extLst>
        </xdr:cNvPr>
        <xdr:cNvSpPr/>
      </xdr:nvSpPr>
      <xdr:spPr>
        <a:xfrm>
          <a:off x="241300" y="1280160"/>
          <a:ext cx="1358900" cy="29083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  Revenue Analysis</a:t>
          </a:r>
        </a:p>
      </xdr:txBody>
    </xdr:sp>
    <xdr:clientData/>
  </xdr:twoCellAnchor>
  <xdr:twoCellAnchor>
    <xdr:from>
      <xdr:col>0</xdr:col>
      <xdr:colOff>241300</xdr:colOff>
      <xdr:row>8</xdr:row>
      <xdr:rowOff>127000</xdr:rowOff>
    </xdr:from>
    <xdr:to>
      <xdr:col>2</xdr:col>
      <xdr:colOff>381000</xdr:colOff>
      <xdr:row>12</xdr:row>
      <xdr:rowOff>19050</xdr:rowOff>
    </xdr:to>
    <xdr:sp macro="" textlink="">
      <xdr:nvSpPr>
        <xdr:cNvPr id="10" name="Rectangle 9">
          <a:extLst>
            <a:ext uri="{FF2B5EF4-FFF2-40B4-BE49-F238E27FC236}">
              <a16:creationId xmlns:a16="http://schemas.microsoft.com/office/drawing/2014/main" id="{84CFCA87-88D2-4696-94DF-527223B7A148}"/>
            </a:ext>
          </a:extLst>
        </xdr:cNvPr>
        <xdr:cNvSpPr/>
      </xdr:nvSpPr>
      <xdr:spPr>
        <a:xfrm>
          <a:off x="241300" y="1600200"/>
          <a:ext cx="1358900" cy="6286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 Order&amp; Customer Analysis</a:t>
          </a:r>
        </a:p>
      </xdr:txBody>
    </xdr:sp>
    <xdr:clientData/>
  </xdr:twoCellAnchor>
  <xdr:twoCellAnchor>
    <xdr:from>
      <xdr:col>3</xdr:col>
      <xdr:colOff>342900</xdr:colOff>
      <xdr:row>1</xdr:row>
      <xdr:rowOff>120650</xdr:rowOff>
    </xdr:from>
    <xdr:to>
      <xdr:col>5</xdr:col>
      <xdr:colOff>495300</xdr:colOff>
      <xdr:row>3</xdr:row>
      <xdr:rowOff>38100</xdr:rowOff>
    </xdr:to>
    <xdr:sp macro="" textlink="">
      <xdr:nvSpPr>
        <xdr:cNvPr id="11" name="Rectangle 10">
          <a:extLst>
            <a:ext uri="{FF2B5EF4-FFF2-40B4-BE49-F238E27FC236}">
              <a16:creationId xmlns:a16="http://schemas.microsoft.com/office/drawing/2014/main" id="{106C12A1-7B3A-4BC3-83D9-815170631FF9}"/>
            </a:ext>
          </a:extLst>
        </xdr:cNvPr>
        <xdr:cNvSpPr/>
      </xdr:nvSpPr>
      <xdr:spPr>
        <a:xfrm>
          <a:off x="2171700" y="303530"/>
          <a:ext cx="1371600" cy="28321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a:t>
          </a:r>
          <a:r>
            <a:rPr lang="en-IN" sz="1200" b="1" i="1" baseline="0"/>
            <a:t> Revenue</a:t>
          </a:r>
          <a:endParaRPr lang="en-IN" sz="1200" b="1" i="1"/>
        </a:p>
      </xdr:txBody>
    </xdr:sp>
    <xdr:clientData/>
  </xdr:twoCellAnchor>
  <xdr:twoCellAnchor>
    <xdr:from>
      <xdr:col>3</xdr:col>
      <xdr:colOff>304800</xdr:colOff>
      <xdr:row>2</xdr:row>
      <xdr:rowOff>158750</xdr:rowOff>
    </xdr:from>
    <xdr:to>
      <xdr:col>5</xdr:col>
      <xdr:colOff>393700</xdr:colOff>
      <xdr:row>4</xdr:row>
      <xdr:rowOff>12700</xdr:rowOff>
    </xdr:to>
    <xdr:sp macro="" textlink="Sheet3!$D$4">
      <xdr:nvSpPr>
        <xdr:cNvPr id="12" name="Rectangle 11">
          <a:extLst>
            <a:ext uri="{FF2B5EF4-FFF2-40B4-BE49-F238E27FC236}">
              <a16:creationId xmlns:a16="http://schemas.microsoft.com/office/drawing/2014/main" id="{785D24DB-78E6-4423-A8AB-4F3A9F19504D}"/>
            </a:ext>
          </a:extLst>
        </xdr:cNvPr>
        <xdr:cNvSpPr/>
      </xdr:nvSpPr>
      <xdr:spPr>
        <a:xfrm>
          <a:off x="2133600" y="524510"/>
          <a:ext cx="1308100" cy="2197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r>
            <a:rPr lang="en-US" sz="1100" b="0" i="0" u="none" strike="noStrike" baseline="0">
              <a:solidFill>
                <a:srgbClr val="000000"/>
              </a:solidFill>
              <a:latin typeface="Calibri"/>
              <a:ea typeface="Calibri"/>
              <a:cs typeface="Calibri"/>
            </a:rPr>
            <a:t> </a:t>
          </a:r>
          <a:fld id="{0055FBA3-2EF2-4B54-A668-3B2D32493229}" type="TxLink">
            <a:rPr lang="en-US" sz="1100" b="0" i="0" u="none" strike="noStrike">
              <a:solidFill>
                <a:srgbClr val="000000"/>
              </a:solidFill>
              <a:latin typeface="Calibri"/>
              <a:ea typeface="Calibri"/>
              <a:cs typeface="Calibri"/>
            </a:rPr>
            <a:pPr algn="l"/>
            <a:t>11578.31</a:t>
          </a:fld>
          <a:endParaRPr lang="en-IN" sz="1100"/>
        </a:p>
      </xdr:txBody>
    </xdr:sp>
    <xdr:clientData/>
  </xdr:twoCellAnchor>
  <xdr:twoCellAnchor>
    <xdr:from>
      <xdr:col>6</xdr:col>
      <xdr:colOff>425450</xdr:colOff>
      <xdr:row>1</xdr:row>
      <xdr:rowOff>107950</xdr:rowOff>
    </xdr:from>
    <xdr:to>
      <xdr:col>8</xdr:col>
      <xdr:colOff>539750</xdr:colOff>
      <xdr:row>2</xdr:row>
      <xdr:rowOff>127000</xdr:rowOff>
    </xdr:to>
    <xdr:sp macro="" textlink="">
      <xdr:nvSpPr>
        <xdr:cNvPr id="13" name="Rectangle 12">
          <a:extLst>
            <a:ext uri="{FF2B5EF4-FFF2-40B4-BE49-F238E27FC236}">
              <a16:creationId xmlns:a16="http://schemas.microsoft.com/office/drawing/2014/main" id="{6BFCC80B-6936-425F-82B7-517C2C25BF5F}"/>
            </a:ext>
          </a:extLst>
        </xdr:cNvPr>
        <xdr:cNvSpPr/>
      </xdr:nvSpPr>
      <xdr:spPr>
        <a:xfrm>
          <a:off x="4083050" y="290830"/>
          <a:ext cx="1333500" cy="20193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 Orders</a:t>
          </a:r>
        </a:p>
      </xdr:txBody>
    </xdr:sp>
    <xdr:clientData/>
  </xdr:twoCellAnchor>
  <xdr:twoCellAnchor>
    <xdr:from>
      <xdr:col>6</xdr:col>
      <xdr:colOff>374650</xdr:colOff>
      <xdr:row>3</xdr:row>
      <xdr:rowOff>19050</xdr:rowOff>
    </xdr:from>
    <xdr:to>
      <xdr:col>8</xdr:col>
      <xdr:colOff>463550</xdr:colOff>
      <xdr:row>4</xdr:row>
      <xdr:rowOff>25400</xdr:rowOff>
    </xdr:to>
    <xdr:sp macro="" textlink="Sheet3!$G$47">
      <xdr:nvSpPr>
        <xdr:cNvPr id="14" name="Rectangle 13">
          <a:extLst>
            <a:ext uri="{FF2B5EF4-FFF2-40B4-BE49-F238E27FC236}">
              <a16:creationId xmlns:a16="http://schemas.microsoft.com/office/drawing/2014/main" id="{FAF27F6A-FD5D-4E76-9282-F05D0C65CE60}"/>
            </a:ext>
          </a:extLst>
        </xdr:cNvPr>
        <xdr:cNvSpPr/>
      </xdr:nvSpPr>
      <xdr:spPr>
        <a:xfrm>
          <a:off x="4032250" y="567690"/>
          <a:ext cx="1308100" cy="18923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52</a:t>
          </a:r>
          <a:endParaRPr lang="en-IN" sz="1100"/>
        </a:p>
      </xdr:txBody>
    </xdr:sp>
    <xdr:clientData/>
  </xdr:twoCellAnchor>
  <xdr:twoCellAnchor>
    <xdr:from>
      <xdr:col>9</xdr:col>
      <xdr:colOff>406400</xdr:colOff>
      <xdr:row>1</xdr:row>
      <xdr:rowOff>127000</xdr:rowOff>
    </xdr:from>
    <xdr:to>
      <xdr:col>11</xdr:col>
      <xdr:colOff>495300</xdr:colOff>
      <xdr:row>2</xdr:row>
      <xdr:rowOff>158750</xdr:rowOff>
    </xdr:to>
    <xdr:sp macro="" textlink="">
      <xdr:nvSpPr>
        <xdr:cNvPr id="15" name="Rectangle 14">
          <a:extLst>
            <a:ext uri="{FF2B5EF4-FFF2-40B4-BE49-F238E27FC236}">
              <a16:creationId xmlns:a16="http://schemas.microsoft.com/office/drawing/2014/main" id="{B2C022BC-09ED-4ECB-AE8B-B33219208400}"/>
            </a:ext>
          </a:extLst>
        </xdr:cNvPr>
        <xdr:cNvSpPr/>
      </xdr:nvSpPr>
      <xdr:spPr>
        <a:xfrm>
          <a:off x="5892800" y="309880"/>
          <a:ext cx="1308100" cy="21463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 Quantity</a:t>
          </a:r>
        </a:p>
      </xdr:txBody>
    </xdr:sp>
    <xdr:clientData/>
  </xdr:twoCellAnchor>
  <xdr:twoCellAnchor>
    <xdr:from>
      <xdr:col>9</xdr:col>
      <xdr:colOff>406400</xdr:colOff>
      <xdr:row>2</xdr:row>
      <xdr:rowOff>177800</xdr:rowOff>
    </xdr:from>
    <xdr:to>
      <xdr:col>11</xdr:col>
      <xdr:colOff>495300</xdr:colOff>
      <xdr:row>4</xdr:row>
      <xdr:rowOff>19050</xdr:rowOff>
    </xdr:to>
    <xdr:sp macro="" textlink="Sheet3!$F$4">
      <xdr:nvSpPr>
        <xdr:cNvPr id="16" name="Rectangle 15">
          <a:extLst>
            <a:ext uri="{FF2B5EF4-FFF2-40B4-BE49-F238E27FC236}">
              <a16:creationId xmlns:a16="http://schemas.microsoft.com/office/drawing/2014/main" id="{30E3DF31-CC61-453C-A55D-D6FB5B3E310D}"/>
            </a:ext>
          </a:extLst>
        </xdr:cNvPr>
        <xdr:cNvSpPr/>
      </xdr:nvSpPr>
      <xdr:spPr>
        <a:xfrm>
          <a:off x="5892800" y="543560"/>
          <a:ext cx="1308100" cy="2070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245180AC-7EBB-4EB0-867D-822F3F9A463C}" type="TxLink">
            <a:rPr lang="en-US" sz="1100" b="0" i="0" u="none" strike="noStrike">
              <a:solidFill>
                <a:srgbClr val="000000"/>
              </a:solidFill>
              <a:latin typeface="Calibri"/>
              <a:ea typeface="Calibri"/>
              <a:cs typeface="Calibri"/>
            </a:rPr>
            <a:pPr algn="l"/>
            <a:t>169</a:t>
          </a:fld>
          <a:endParaRPr lang="en-IN" sz="1100"/>
        </a:p>
      </xdr:txBody>
    </xdr:sp>
    <xdr:clientData/>
  </xdr:twoCellAnchor>
  <xdr:twoCellAnchor>
    <xdr:from>
      <xdr:col>12</xdr:col>
      <xdr:colOff>330200</xdr:colOff>
      <xdr:row>1</xdr:row>
      <xdr:rowOff>133350</xdr:rowOff>
    </xdr:from>
    <xdr:to>
      <xdr:col>14</xdr:col>
      <xdr:colOff>419100</xdr:colOff>
      <xdr:row>2</xdr:row>
      <xdr:rowOff>171450</xdr:rowOff>
    </xdr:to>
    <xdr:sp macro="" textlink="">
      <xdr:nvSpPr>
        <xdr:cNvPr id="17" name="Rectangle 16">
          <a:extLst>
            <a:ext uri="{FF2B5EF4-FFF2-40B4-BE49-F238E27FC236}">
              <a16:creationId xmlns:a16="http://schemas.microsoft.com/office/drawing/2014/main" id="{B261CBB9-9A6E-4195-88D8-F1224686C6DF}"/>
            </a:ext>
          </a:extLst>
        </xdr:cNvPr>
        <xdr:cNvSpPr/>
      </xdr:nvSpPr>
      <xdr:spPr>
        <a:xfrm>
          <a:off x="7645400" y="316230"/>
          <a:ext cx="1308100" cy="22098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 Tax</a:t>
          </a:r>
        </a:p>
      </xdr:txBody>
    </xdr:sp>
    <xdr:clientData/>
  </xdr:twoCellAnchor>
  <xdr:twoCellAnchor>
    <xdr:from>
      <xdr:col>12</xdr:col>
      <xdr:colOff>342900</xdr:colOff>
      <xdr:row>2</xdr:row>
      <xdr:rowOff>171450</xdr:rowOff>
    </xdr:from>
    <xdr:to>
      <xdr:col>14</xdr:col>
      <xdr:colOff>431800</xdr:colOff>
      <xdr:row>4</xdr:row>
      <xdr:rowOff>25400</xdr:rowOff>
    </xdr:to>
    <xdr:sp macro="" textlink="Sheet3!$E$4">
      <xdr:nvSpPr>
        <xdr:cNvPr id="18" name="Rectangle 17">
          <a:extLst>
            <a:ext uri="{FF2B5EF4-FFF2-40B4-BE49-F238E27FC236}">
              <a16:creationId xmlns:a16="http://schemas.microsoft.com/office/drawing/2014/main" id="{3EEDE2FA-F6F0-4A35-A530-05DC25416F53}"/>
            </a:ext>
          </a:extLst>
        </xdr:cNvPr>
        <xdr:cNvSpPr/>
      </xdr:nvSpPr>
      <xdr:spPr>
        <a:xfrm>
          <a:off x="7658100" y="537210"/>
          <a:ext cx="1308100" cy="2197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12CC8ACB-A7A6-462E-8927-05B7D92F4C3A}" type="TxLink">
            <a:rPr lang="en-US" sz="1100" b="0" i="0" u="none" strike="noStrike">
              <a:solidFill>
                <a:srgbClr val="000000"/>
              </a:solidFill>
              <a:latin typeface="Calibri"/>
              <a:ea typeface="Calibri"/>
              <a:cs typeface="Calibri"/>
            </a:rPr>
            <a:pPr algn="l"/>
            <a:t>1157.831</a:t>
          </a:fld>
          <a:endParaRPr lang="en-IN" sz="1100"/>
        </a:p>
      </xdr:txBody>
    </xdr:sp>
    <xdr:clientData/>
  </xdr:twoCellAnchor>
  <xdr:twoCellAnchor>
    <xdr:from>
      <xdr:col>0</xdr:col>
      <xdr:colOff>234950</xdr:colOff>
      <xdr:row>12</xdr:row>
      <xdr:rowOff>38100</xdr:rowOff>
    </xdr:from>
    <xdr:to>
      <xdr:col>2</xdr:col>
      <xdr:colOff>387350</xdr:colOff>
      <xdr:row>15</xdr:row>
      <xdr:rowOff>107950</xdr:rowOff>
    </xdr:to>
    <xdr:sp macro="" textlink="">
      <xdr:nvSpPr>
        <xdr:cNvPr id="19" name="Rectangle 18">
          <a:extLst>
            <a:ext uri="{FF2B5EF4-FFF2-40B4-BE49-F238E27FC236}">
              <a16:creationId xmlns:a16="http://schemas.microsoft.com/office/drawing/2014/main" id="{92B457E8-3D30-4FE4-84ED-8784B9004384}"/>
            </a:ext>
          </a:extLst>
        </xdr:cNvPr>
        <xdr:cNvSpPr/>
      </xdr:nvSpPr>
      <xdr:spPr>
        <a:xfrm>
          <a:off x="234950" y="2247900"/>
          <a:ext cx="1371600" cy="6223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Shipping Performance &amp;</a:t>
          </a:r>
          <a:r>
            <a:rPr lang="en-IN" sz="1100" b="1" i="1" baseline="0"/>
            <a:t> Tax</a:t>
          </a:r>
          <a:endParaRPr lang="en-IN" sz="1100" b="1" i="1"/>
        </a:p>
      </xdr:txBody>
    </xdr:sp>
    <xdr:clientData/>
  </xdr:twoCellAnchor>
  <xdr:twoCellAnchor>
    <xdr:from>
      <xdr:col>2</xdr:col>
      <xdr:colOff>584200</xdr:colOff>
      <xdr:row>4</xdr:row>
      <xdr:rowOff>152400</xdr:rowOff>
    </xdr:from>
    <xdr:to>
      <xdr:col>9</xdr:col>
      <xdr:colOff>25400</xdr:colOff>
      <xdr:row>23</xdr:row>
      <xdr:rowOff>107950</xdr:rowOff>
    </xdr:to>
    <xdr:sp macro="" textlink="">
      <xdr:nvSpPr>
        <xdr:cNvPr id="22" name="Rectangle 21">
          <a:extLst>
            <a:ext uri="{FF2B5EF4-FFF2-40B4-BE49-F238E27FC236}">
              <a16:creationId xmlns:a16="http://schemas.microsoft.com/office/drawing/2014/main" id="{7F01F0EF-0B1B-42A2-AFC2-FD4AA306BC34}"/>
            </a:ext>
          </a:extLst>
        </xdr:cNvPr>
        <xdr:cNvSpPr/>
      </xdr:nvSpPr>
      <xdr:spPr>
        <a:xfrm>
          <a:off x="1803400" y="883920"/>
          <a:ext cx="3708400" cy="343027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63500</xdr:colOff>
      <xdr:row>4</xdr:row>
      <xdr:rowOff>171450</xdr:rowOff>
    </xdr:from>
    <xdr:to>
      <xdr:col>14</xdr:col>
      <xdr:colOff>603250</xdr:colOff>
      <xdr:row>14</xdr:row>
      <xdr:rowOff>38100</xdr:rowOff>
    </xdr:to>
    <xdr:sp macro="" textlink="">
      <xdr:nvSpPr>
        <xdr:cNvPr id="23" name="Rectangle 22">
          <a:extLst>
            <a:ext uri="{FF2B5EF4-FFF2-40B4-BE49-F238E27FC236}">
              <a16:creationId xmlns:a16="http://schemas.microsoft.com/office/drawing/2014/main" id="{708318BB-DE14-4829-BACF-45DC9E99F425}"/>
            </a:ext>
          </a:extLst>
        </xdr:cNvPr>
        <xdr:cNvSpPr/>
      </xdr:nvSpPr>
      <xdr:spPr>
        <a:xfrm>
          <a:off x="5549900" y="908050"/>
          <a:ext cx="3587750" cy="1708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15</xdr:col>
      <xdr:colOff>12700</xdr:colOff>
      <xdr:row>1</xdr:row>
      <xdr:rowOff>82551</xdr:rowOff>
    </xdr:from>
    <xdr:to>
      <xdr:col>19</xdr:col>
      <xdr:colOff>190500</xdr:colOff>
      <xdr:row>6</xdr:row>
      <xdr:rowOff>44450</xdr:rowOff>
    </xdr:to>
    <mc:AlternateContent xmlns:mc="http://schemas.openxmlformats.org/markup-compatibility/2006" xmlns:a14="http://schemas.microsoft.com/office/drawing/2010/main">
      <mc:Choice Requires="a14">
        <xdr:graphicFrame macro="">
          <xdr:nvGraphicFramePr>
            <xdr:cNvPr id="25" name="year 3">
              <a:extLst>
                <a:ext uri="{FF2B5EF4-FFF2-40B4-BE49-F238E27FC236}">
                  <a16:creationId xmlns:a16="http://schemas.microsoft.com/office/drawing/2014/main" id="{152FA0FC-D3D7-42F5-8D9B-FACD3A2EDF9D}"/>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9156700" y="266701"/>
              <a:ext cx="2616200" cy="882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25400</xdr:colOff>
      <xdr:row>6</xdr:row>
      <xdr:rowOff>69850</xdr:rowOff>
    </xdr:from>
    <xdr:to>
      <xdr:col>19</xdr:col>
      <xdr:colOff>184150</xdr:colOff>
      <xdr:row>13</xdr:row>
      <xdr:rowOff>126999</xdr:rowOff>
    </xdr:to>
    <mc:AlternateContent xmlns:mc="http://schemas.openxmlformats.org/markup-compatibility/2006" xmlns:a14="http://schemas.microsoft.com/office/drawing/2010/main">
      <mc:Choice Requires="a14">
        <xdr:graphicFrame macro="">
          <xdr:nvGraphicFramePr>
            <xdr:cNvPr id="26" name="month 3">
              <a:extLst>
                <a:ext uri="{FF2B5EF4-FFF2-40B4-BE49-F238E27FC236}">
                  <a16:creationId xmlns:a16="http://schemas.microsoft.com/office/drawing/2014/main" id="{FA3E0846-8689-422E-9675-1F03A15BC019}"/>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9169400" y="1174750"/>
              <a:ext cx="2597150" cy="1346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63500</xdr:colOff>
      <xdr:row>14</xdr:row>
      <xdr:rowOff>69850</xdr:rowOff>
    </xdr:from>
    <xdr:to>
      <xdr:col>19</xdr:col>
      <xdr:colOff>190500</xdr:colOff>
      <xdr:row>23</xdr:row>
      <xdr:rowOff>114300</xdr:rowOff>
    </xdr:to>
    <xdr:sp macro="" textlink="">
      <xdr:nvSpPr>
        <xdr:cNvPr id="30" name="Rectangle 29">
          <a:extLst>
            <a:ext uri="{FF2B5EF4-FFF2-40B4-BE49-F238E27FC236}">
              <a16:creationId xmlns:a16="http://schemas.microsoft.com/office/drawing/2014/main" id="{4B72CFEB-FBF4-6CF0-4C84-CE43D4A95C5E}"/>
            </a:ext>
          </a:extLst>
        </xdr:cNvPr>
        <xdr:cNvSpPr/>
      </xdr:nvSpPr>
      <xdr:spPr>
        <a:xfrm>
          <a:off x="5549900" y="2647950"/>
          <a:ext cx="6223000" cy="1701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25400</xdr:colOff>
      <xdr:row>4</xdr:row>
      <xdr:rowOff>177800</xdr:rowOff>
    </xdr:from>
    <xdr:to>
      <xdr:col>8</xdr:col>
      <xdr:colOff>584200</xdr:colOff>
      <xdr:row>23</xdr:row>
      <xdr:rowOff>69850</xdr:rowOff>
    </xdr:to>
    <xdr:graphicFrame macro="">
      <xdr:nvGraphicFramePr>
        <xdr:cNvPr id="31" name="Chart 30">
          <a:extLst>
            <a:ext uri="{FF2B5EF4-FFF2-40B4-BE49-F238E27FC236}">
              <a16:creationId xmlns:a16="http://schemas.microsoft.com/office/drawing/2014/main" id="{A34520BF-943B-4E05-8C7A-9F4460026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63500</xdr:colOff>
      <xdr:row>4</xdr:row>
      <xdr:rowOff>171450</xdr:rowOff>
    </xdr:from>
    <xdr:to>
      <xdr:col>15</xdr:col>
      <xdr:colOff>6350</xdr:colOff>
      <xdr:row>14</xdr:row>
      <xdr:rowOff>44450</xdr:rowOff>
    </xdr:to>
    <xdr:graphicFrame macro="">
      <xdr:nvGraphicFramePr>
        <xdr:cNvPr id="32" name="Chart 31">
          <a:extLst>
            <a:ext uri="{FF2B5EF4-FFF2-40B4-BE49-F238E27FC236}">
              <a16:creationId xmlns:a16="http://schemas.microsoft.com/office/drawing/2014/main" id="{94B21F87-DFB6-4BD5-9513-611B22943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63500</xdr:colOff>
      <xdr:row>14</xdr:row>
      <xdr:rowOff>95250</xdr:rowOff>
    </xdr:from>
    <xdr:to>
      <xdr:col>19</xdr:col>
      <xdr:colOff>196850</xdr:colOff>
      <xdr:row>23</xdr:row>
      <xdr:rowOff>69850</xdr:rowOff>
    </xdr:to>
    <xdr:graphicFrame macro="">
      <xdr:nvGraphicFramePr>
        <xdr:cNvPr id="33" name="Chart 32">
          <a:extLst>
            <a:ext uri="{FF2B5EF4-FFF2-40B4-BE49-F238E27FC236}">
              <a16:creationId xmlns:a16="http://schemas.microsoft.com/office/drawing/2014/main" id="{DCDE2F77-A06F-477A-9ED8-73DCFA5F1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12094</xdr:colOff>
      <xdr:row>0</xdr:row>
      <xdr:rowOff>12095</xdr:rowOff>
    </xdr:from>
    <xdr:to>
      <xdr:col>19</xdr:col>
      <xdr:colOff>171450</xdr:colOff>
      <xdr:row>1</xdr:row>
      <xdr:rowOff>72572</xdr:rowOff>
    </xdr:to>
    <xdr:sp macro="" textlink="">
      <xdr:nvSpPr>
        <xdr:cNvPr id="2" name="Rectangle: Rounded Corners 1">
          <a:extLst>
            <a:ext uri="{FF2B5EF4-FFF2-40B4-BE49-F238E27FC236}">
              <a16:creationId xmlns:a16="http://schemas.microsoft.com/office/drawing/2014/main" id="{89E7F36C-7DD9-4158-889E-6F1268D13547}"/>
            </a:ext>
          </a:extLst>
        </xdr:cNvPr>
        <xdr:cNvSpPr/>
      </xdr:nvSpPr>
      <xdr:spPr>
        <a:xfrm>
          <a:off x="12094" y="12095"/>
          <a:ext cx="11741756" cy="243357"/>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100" b="1" i="1">
              <a:solidFill>
                <a:srgbClr val="FF0000"/>
              </a:solidFill>
            </a:rPr>
            <a:t>                                                                                                                                              SUPER</a:t>
          </a:r>
          <a:r>
            <a:rPr lang="en-IN" sz="1100" b="1" i="1" baseline="0">
              <a:solidFill>
                <a:srgbClr val="FF0000"/>
              </a:solidFill>
            </a:rPr>
            <a:t> MARKET DASHBOARD</a:t>
          </a:r>
          <a:endParaRPr lang="en-IN" sz="1100" b="1" i="1">
            <a:solidFill>
              <a:srgbClr val="FF0000"/>
            </a:solidFill>
          </a:endParaRPr>
        </a:p>
      </xdr:txBody>
    </xdr:sp>
    <xdr:clientData/>
  </xdr:twoCellAnchor>
  <xdr:twoCellAnchor>
    <xdr:from>
      <xdr:col>0</xdr:col>
      <xdr:colOff>25400</xdr:colOff>
      <xdr:row>1</xdr:row>
      <xdr:rowOff>82550</xdr:rowOff>
    </xdr:from>
    <xdr:to>
      <xdr:col>2</xdr:col>
      <xdr:colOff>565150</xdr:colOff>
      <xdr:row>23</xdr:row>
      <xdr:rowOff>120650</xdr:rowOff>
    </xdr:to>
    <xdr:sp macro="" textlink="">
      <xdr:nvSpPr>
        <xdr:cNvPr id="3" name="Rectangle 2">
          <a:extLst>
            <a:ext uri="{FF2B5EF4-FFF2-40B4-BE49-F238E27FC236}">
              <a16:creationId xmlns:a16="http://schemas.microsoft.com/office/drawing/2014/main" id="{FE0B4562-3C3C-48D7-899D-577936D9B738}"/>
            </a:ext>
          </a:extLst>
        </xdr:cNvPr>
        <xdr:cNvSpPr/>
      </xdr:nvSpPr>
      <xdr:spPr>
        <a:xfrm>
          <a:off x="25400" y="265430"/>
          <a:ext cx="1758950" cy="4061460"/>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577850</xdr:colOff>
      <xdr:row>1</xdr:row>
      <xdr:rowOff>88900</xdr:rowOff>
    </xdr:from>
    <xdr:to>
      <xdr:col>5</xdr:col>
      <xdr:colOff>590550</xdr:colOff>
      <xdr:row>4</xdr:row>
      <xdr:rowOff>120650</xdr:rowOff>
    </xdr:to>
    <xdr:sp macro="" textlink="">
      <xdr:nvSpPr>
        <xdr:cNvPr id="4" name="Rectangle: Rounded Corners 3">
          <a:extLst>
            <a:ext uri="{FF2B5EF4-FFF2-40B4-BE49-F238E27FC236}">
              <a16:creationId xmlns:a16="http://schemas.microsoft.com/office/drawing/2014/main" id="{765E5AC4-6F7B-41E9-A3C4-0C9D81C7D1C9}"/>
            </a:ext>
          </a:extLst>
        </xdr:cNvPr>
        <xdr:cNvSpPr/>
      </xdr:nvSpPr>
      <xdr:spPr>
        <a:xfrm>
          <a:off x="1797050" y="271780"/>
          <a:ext cx="1841500" cy="58039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6350</xdr:colOff>
      <xdr:row>1</xdr:row>
      <xdr:rowOff>82550</xdr:rowOff>
    </xdr:from>
    <xdr:to>
      <xdr:col>9</xdr:col>
      <xdr:colOff>50800</xdr:colOff>
      <xdr:row>4</xdr:row>
      <xdr:rowOff>107950</xdr:rowOff>
    </xdr:to>
    <xdr:sp macro="" textlink="">
      <xdr:nvSpPr>
        <xdr:cNvPr id="5" name="Rectangle: Rounded Corners 4">
          <a:extLst>
            <a:ext uri="{FF2B5EF4-FFF2-40B4-BE49-F238E27FC236}">
              <a16:creationId xmlns:a16="http://schemas.microsoft.com/office/drawing/2014/main" id="{37864B65-A83A-4A95-BA8D-F014586DDBC8}"/>
            </a:ext>
          </a:extLst>
        </xdr:cNvPr>
        <xdr:cNvSpPr/>
      </xdr:nvSpPr>
      <xdr:spPr>
        <a:xfrm>
          <a:off x="3663950" y="265430"/>
          <a:ext cx="1873250" cy="574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82550</xdr:colOff>
      <xdr:row>1</xdr:row>
      <xdr:rowOff>82550</xdr:rowOff>
    </xdr:from>
    <xdr:to>
      <xdr:col>12</xdr:col>
      <xdr:colOff>19050</xdr:colOff>
      <xdr:row>4</xdr:row>
      <xdr:rowOff>107950</xdr:rowOff>
    </xdr:to>
    <xdr:sp macro="" textlink="">
      <xdr:nvSpPr>
        <xdr:cNvPr id="6" name="Rectangle: Rounded Corners 5">
          <a:extLst>
            <a:ext uri="{FF2B5EF4-FFF2-40B4-BE49-F238E27FC236}">
              <a16:creationId xmlns:a16="http://schemas.microsoft.com/office/drawing/2014/main" id="{2A818085-6391-4C85-8EC6-DE854E759D40}"/>
            </a:ext>
          </a:extLst>
        </xdr:cNvPr>
        <xdr:cNvSpPr/>
      </xdr:nvSpPr>
      <xdr:spPr>
        <a:xfrm>
          <a:off x="5568950" y="265430"/>
          <a:ext cx="1765300" cy="574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57150</xdr:colOff>
      <xdr:row>1</xdr:row>
      <xdr:rowOff>95250</xdr:rowOff>
    </xdr:from>
    <xdr:to>
      <xdr:col>14</xdr:col>
      <xdr:colOff>596900</xdr:colOff>
      <xdr:row>4</xdr:row>
      <xdr:rowOff>127000</xdr:rowOff>
    </xdr:to>
    <xdr:sp macro="" textlink="">
      <xdr:nvSpPr>
        <xdr:cNvPr id="8" name="Rectangle: Rounded Corners 7">
          <a:extLst>
            <a:ext uri="{FF2B5EF4-FFF2-40B4-BE49-F238E27FC236}">
              <a16:creationId xmlns:a16="http://schemas.microsoft.com/office/drawing/2014/main" id="{6A6979E2-056A-4851-AA7C-3092A4628CCA}"/>
            </a:ext>
          </a:extLst>
        </xdr:cNvPr>
        <xdr:cNvSpPr/>
      </xdr:nvSpPr>
      <xdr:spPr>
        <a:xfrm>
          <a:off x="7372350" y="278130"/>
          <a:ext cx="1758950" cy="58039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222250</xdr:colOff>
      <xdr:row>4</xdr:row>
      <xdr:rowOff>0</xdr:rowOff>
    </xdr:from>
    <xdr:to>
      <xdr:col>2</xdr:col>
      <xdr:colOff>393700</xdr:colOff>
      <xdr:row>5</xdr:row>
      <xdr:rowOff>120650</xdr:rowOff>
    </xdr:to>
    <xdr:sp macro="" textlink="">
      <xdr:nvSpPr>
        <xdr:cNvPr id="9" name="Rectangle: Rounded Corners 8">
          <a:extLst>
            <a:ext uri="{FF2B5EF4-FFF2-40B4-BE49-F238E27FC236}">
              <a16:creationId xmlns:a16="http://schemas.microsoft.com/office/drawing/2014/main" id="{9C4CA8CE-122B-4328-B415-9FB155B06B29}"/>
            </a:ext>
          </a:extLst>
        </xdr:cNvPr>
        <xdr:cNvSpPr/>
      </xdr:nvSpPr>
      <xdr:spPr>
        <a:xfrm>
          <a:off x="222250" y="731520"/>
          <a:ext cx="1390650" cy="30353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i="1"/>
            <a:t>      Overview</a:t>
          </a:r>
        </a:p>
      </xdr:txBody>
    </xdr:sp>
    <xdr:clientData/>
  </xdr:twoCellAnchor>
  <xdr:twoCellAnchor>
    <xdr:from>
      <xdr:col>0</xdr:col>
      <xdr:colOff>241300</xdr:colOff>
      <xdr:row>7</xdr:row>
      <xdr:rowOff>0</xdr:rowOff>
    </xdr:from>
    <xdr:to>
      <xdr:col>2</xdr:col>
      <xdr:colOff>381000</xdr:colOff>
      <xdr:row>8</xdr:row>
      <xdr:rowOff>107950</xdr:rowOff>
    </xdr:to>
    <xdr:sp macro="" textlink="">
      <xdr:nvSpPr>
        <xdr:cNvPr id="10" name="Rectangle 9">
          <a:extLst>
            <a:ext uri="{FF2B5EF4-FFF2-40B4-BE49-F238E27FC236}">
              <a16:creationId xmlns:a16="http://schemas.microsoft.com/office/drawing/2014/main" id="{3516BBFE-5EC1-4A50-96CB-1275168E58B9}"/>
            </a:ext>
          </a:extLst>
        </xdr:cNvPr>
        <xdr:cNvSpPr/>
      </xdr:nvSpPr>
      <xdr:spPr>
        <a:xfrm>
          <a:off x="241300" y="1280160"/>
          <a:ext cx="1358900" cy="29083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  Revenue Analysis</a:t>
          </a:r>
        </a:p>
      </xdr:txBody>
    </xdr:sp>
    <xdr:clientData/>
  </xdr:twoCellAnchor>
  <xdr:twoCellAnchor>
    <xdr:from>
      <xdr:col>0</xdr:col>
      <xdr:colOff>241300</xdr:colOff>
      <xdr:row>8</xdr:row>
      <xdr:rowOff>127000</xdr:rowOff>
    </xdr:from>
    <xdr:to>
      <xdr:col>2</xdr:col>
      <xdr:colOff>381000</xdr:colOff>
      <xdr:row>11</xdr:row>
      <xdr:rowOff>165100</xdr:rowOff>
    </xdr:to>
    <xdr:sp macro="" textlink="">
      <xdr:nvSpPr>
        <xdr:cNvPr id="11" name="Rectangle 10">
          <a:extLst>
            <a:ext uri="{FF2B5EF4-FFF2-40B4-BE49-F238E27FC236}">
              <a16:creationId xmlns:a16="http://schemas.microsoft.com/office/drawing/2014/main" id="{9FECBCF8-2F3E-4C28-A0F1-A2E3D0069CC7}"/>
            </a:ext>
          </a:extLst>
        </xdr:cNvPr>
        <xdr:cNvSpPr/>
      </xdr:nvSpPr>
      <xdr:spPr>
        <a:xfrm>
          <a:off x="241300" y="1600200"/>
          <a:ext cx="1358900" cy="5905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 Order&amp; Customer</a:t>
          </a:r>
          <a:r>
            <a:rPr lang="en-IN" sz="1100" b="1" i="1" baseline="0"/>
            <a:t> </a:t>
          </a:r>
          <a:r>
            <a:rPr lang="en-IN" sz="1100" b="1" i="1"/>
            <a:t>Analysis</a:t>
          </a:r>
        </a:p>
      </xdr:txBody>
    </xdr:sp>
    <xdr:clientData/>
  </xdr:twoCellAnchor>
  <xdr:twoCellAnchor>
    <xdr:from>
      <xdr:col>3</xdr:col>
      <xdr:colOff>342900</xdr:colOff>
      <xdr:row>1</xdr:row>
      <xdr:rowOff>120650</xdr:rowOff>
    </xdr:from>
    <xdr:to>
      <xdr:col>5</xdr:col>
      <xdr:colOff>495300</xdr:colOff>
      <xdr:row>3</xdr:row>
      <xdr:rowOff>38100</xdr:rowOff>
    </xdr:to>
    <xdr:sp macro="" textlink="">
      <xdr:nvSpPr>
        <xdr:cNvPr id="12" name="Rectangle 11">
          <a:extLst>
            <a:ext uri="{FF2B5EF4-FFF2-40B4-BE49-F238E27FC236}">
              <a16:creationId xmlns:a16="http://schemas.microsoft.com/office/drawing/2014/main" id="{D28DE989-BF89-428A-BCD1-E329A206E795}"/>
            </a:ext>
          </a:extLst>
        </xdr:cNvPr>
        <xdr:cNvSpPr/>
      </xdr:nvSpPr>
      <xdr:spPr>
        <a:xfrm>
          <a:off x="2171700" y="303530"/>
          <a:ext cx="1371600" cy="28321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a:t>
          </a:r>
          <a:r>
            <a:rPr lang="en-IN" sz="1200" b="1" i="1" baseline="0"/>
            <a:t> Revenue</a:t>
          </a:r>
          <a:endParaRPr lang="en-IN" sz="1200" b="1" i="1"/>
        </a:p>
      </xdr:txBody>
    </xdr:sp>
    <xdr:clientData/>
  </xdr:twoCellAnchor>
  <xdr:twoCellAnchor>
    <xdr:from>
      <xdr:col>3</xdr:col>
      <xdr:colOff>304800</xdr:colOff>
      <xdr:row>2</xdr:row>
      <xdr:rowOff>158750</xdr:rowOff>
    </xdr:from>
    <xdr:to>
      <xdr:col>5</xdr:col>
      <xdr:colOff>393700</xdr:colOff>
      <xdr:row>4</xdr:row>
      <xdr:rowOff>12700</xdr:rowOff>
    </xdr:to>
    <xdr:sp macro="" textlink="Sheet3!$D$4">
      <xdr:nvSpPr>
        <xdr:cNvPr id="13" name="Rectangle 12">
          <a:extLst>
            <a:ext uri="{FF2B5EF4-FFF2-40B4-BE49-F238E27FC236}">
              <a16:creationId xmlns:a16="http://schemas.microsoft.com/office/drawing/2014/main" id="{0972C14D-2548-461F-87D5-05F7D10D1602}"/>
            </a:ext>
          </a:extLst>
        </xdr:cNvPr>
        <xdr:cNvSpPr/>
      </xdr:nvSpPr>
      <xdr:spPr>
        <a:xfrm>
          <a:off x="2133600" y="524510"/>
          <a:ext cx="1308100" cy="2197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r>
            <a:rPr lang="en-US" sz="1100" b="0" i="0" u="none" strike="noStrike" baseline="0">
              <a:solidFill>
                <a:srgbClr val="000000"/>
              </a:solidFill>
              <a:latin typeface="Calibri"/>
              <a:ea typeface="Calibri"/>
              <a:cs typeface="Calibri"/>
            </a:rPr>
            <a:t> </a:t>
          </a:r>
          <a:fld id="{0055FBA3-2EF2-4B54-A668-3B2D32493229}" type="TxLink">
            <a:rPr lang="en-US" sz="1100" b="0" i="0" u="none" strike="noStrike">
              <a:solidFill>
                <a:srgbClr val="000000"/>
              </a:solidFill>
              <a:latin typeface="Calibri"/>
              <a:ea typeface="Calibri"/>
              <a:cs typeface="Calibri"/>
            </a:rPr>
            <a:pPr algn="l"/>
            <a:t>11578.31</a:t>
          </a:fld>
          <a:endParaRPr lang="en-IN" sz="1100"/>
        </a:p>
      </xdr:txBody>
    </xdr:sp>
    <xdr:clientData/>
  </xdr:twoCellAnchor>
  <xdr:twoCellAnchor>
    <xdr:from>
      <xdr:col>6</xdr:col>
      <xdr:colOff>425450</xdr:colOff>
      <xdr:row>1</xdr:row>
      <xdr:rowOff>107950</xdr:rowOff>
    </xdr:from>
    <xdr:to>
      <xdr:col>8</xdr:col>
      <xdr:colOff>539750</xdr:colOff>
      <xdr:row>2</xdr:row>
      <xdr:rowOff>127000</xdr:rowOff>
    </xdr:to>
    <xdr:sp macro="" textlink="">
      <xdr:nvSpPr>
        <xdr:cNvPr id="14" name="Rectangle 13">
          <a:extLst>
            <a:ext uri="{FF2B5EF4-FFF2-40B4-BE49-F238E27FC236}">
              <a16:creationId xmlns:a16="http://schemas.microsoft.com/office/drawing/2014/main" id="{FE705985-C724-45A3-8249-FBE3F0E60A6D}"/>
            </a:ext>
          </a:extLst>
        </xdr:cNvPr>
        <xdr:cNvSpPr/>
      </xdr:nvSpPr>
      <xdr:spPr>
        <a:xfrm>
          <a:off x="4083050" y="290830"/>
          <a:ext cx="1333500" cy="20193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 Orders</a:t>
          </a:r>
        </a:p>
      </xdr:txBody>
    </xdr:sp>
    <xdr:clientData/>
  </xdr:twoCellAnchor>
  <xdr:twoCellAnchor>
    <xdr:from>
      <xdr:col>6</xdr:col>
      <xdr:colOff>374650</xdr:colOff>
      <xdr:row>3</xdr:row>
      <xdr:rowOff>19050</xdr:rowOff>
    </xdr:from>
    <xdr:to>
      <xdr:col>8</xdr:col>
      <xdr:colOff>463550</xdr:colOff>
      <xdr:row>4</xdr:row>
      <xdr:rowOff>25400</xdr:rowOff>
    </xdr:to>
    <xdr:sp macro="" textlink="Sheet3!$G$47">
      <xdr:nvSpPr>
        <xdr:cNvPr id="15" name="Rectangle 14">
          <a:extLst>
            <a:ext uri="{FF2B5EF4-FFF2-40B4-BE49-F238E27FC236}">
              <a16:creationId xmlns:a16="http://schemas.microsoft.com/office/drawing/2014/main" id="{958B73A5-97B2-4CA9-8BE0-63BF4B8E5BF5}"/>
            </a:ext>
          </a:extLst>
        </xdr:cNvPr>
        <xdr:cNvSpPr/>
      </xdr:nvSpPr>
      <xdr:spPr>
        <a:xfrm>
          <a:off x="4032250" y="567690"/>
          <a:ext cx="1308100" cy="18923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52</a:t>
          </a:r>
          <a:endParaRPr lang="en-IN" sz="1100"/>
        </a:p>
      </xdr:txBody>
    </xdr:sp>
    <xdr:clientData/>
  </xdr:twoCellAnchor>
  <xdr:twoCellAnchor>
    <xdr:from>
      <xdr:col>9</xdr:col>
      <xdr:colOff>406400</xdr:colOff>
      <xdr:row>1</xdr:row>
      <xdr:rowOff>127000</xdr:rowOff>
    </xdr:from>
    <xdr:to>
      <xdr:col>11</xdr:col>
      <xdr:colOff>495300</xdr:colOff>
      <xdr:row>2</xdr:row>
      <xdr:rowOff>158750</xdr:rowOff>
    </xdr:to>
    <xdr:sp macro="" textlink="">
      <xdr:nvSpPr>
        <xdr:cNvPr id="16" name="Rectangle 15">
          <a:extLst>
            <a:ext uri="{FF2B5EF4-FFF2-40B4-BE49-F238E27FC236}">
              <a16:creationId xmlns:a16="http://schemas.microsoft.com/office/drawing/2014/main" id="{7F511AFE-C22A-4F6C-9CD6-038891588F04}"/>
            </a:ext>
          </a:extLst>
        </xdr:cNvPr>
        <xdr:cNvSpPr/>
      </xdr:nvSpPr>
      <xdr:spPr>
        <a:xfrm>
          <a:off x="5892800" y="309880"/>
          <a:ext cx="1308100" cy="21463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 Quantity</a:t>
          </a:r>
        </a:p>
      </xdr:txBody>
    </xdr:sp>
    <xdr:clientData/>
  </xdr:twoCellAnchor>
  <xdr:twoCellAnchor>
    <xdr:from>
      <xdr:col>9</xdr:col>
      <xdr:colOff>406400</xdr:colOff>
      <xdr:row>2</xdr:row>
      <xdr:rowOff>177800</xdr:rowOff>
    </xdr:from>
    <xdr:to>
      <xdr:col>11</xdr:col>
      <xdr:colOff>495300</xdr:colOff>
      <xdr:row>4</xdr:row>
      <xdr:rowOff>19050</xdr:rowOff>
    </xdr:to>
    <xdr:sp macro="" textlink="Sheet3!$F$4">
      <xdr:nvSpPr>
        <xdr:cNvPr id="17" name="Rectangle 16">
          <a:extLst>
            <a:ext uri="{FF2B5EF4-FFF2-40B4-BE49-F238E27FC236}">
              <a16:creationId xmlns:a16="http://schemas.microsoft.com/office/drawing/2014/main" id="{20EC4234-4A56-40E0-BE5C-AF8399EC963C}"/>
            </a:ext>
          </a:extLst>
        </xdr:cNvPr>
        <xdr:cNvSpPr/>
      </xdr:nvSpPr>
      <xdr:spPr>
        <a:xfrm>
          <a:off x="5892800" y="543560"/>
          <a:ext cx="1308100" cy="2070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245180AC-7EBB-4EB0-867D-822F3F9A463C}" type="TxLink">
            <a:rPr lang="en-US" sz="1100" b="0" i="0" u="none" strike="noStrike">
              <a:solidFill>
                <a:srgbClr val="000000"/>
              </a:solidFill>
              <a:latin typeface="Calibri"/>
              <a:ea typeface="Calibri"/>
              <a:cs typeface="Calibri"/>
            </a:rPr>
            <a:pPr algn="l"/>
            <a:t>169</a:t>
          </a:fld>
          <a:endParaRPr lang="en-IN" sz="1100"/>
        </a:p>
      </xdr:txBody>
    </xdr:sp>
    <xdr:clientData/>
  </xdr:twoCellAnchor>
  <xdr:twoCellAnchor>
    <xdr:from>
      <xdr:col>12</xdr:col>
      <xdr:colOff>330200</xdr:colOff>
      <xdr:row>1</xdr:row>
      <xdr:rowOff>133350</xdr:rowOff>
    </xdr:from>
    <xdr:to>
      <xdr:col>14</xdr:col>
      <xdr:colOff>419100</xdr:colOff>
      <xdr:row>2</xdr:row>
      <xdr:rowOff>171450</xdr:rowOff>
    </xdr:to>
    <xdr:sp macro="" textlink="">
      <xdr:nvSpPr>
        <xdr:cNvPr id="18" name="Rectangle 17">
          <a:extLst>
            <a:ext uri="{FF2B5EF4-FFF2-40B4-BE49-F238E27FC236}">
              <a16:creationId xmlns:a16="http://schemas.microsoft.com/office/drawing/2014/main" id="{6B03257B-ABB0-4A37-B76A-1323364B6676}"/>
            </a:ext>
          </a:extLst>
        </xdr:cNvPr>
        <xdr:cNvSpPr/>
      </xdr:nvSpPr>
      <xdr:spPr>
        <a:xfrm>
          <a:off x="7645400" y="316230"/>
          <a:ext cx="1308100" cy="22098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 Tax</a:t>
          </a:r>
        </a:p>
      </xdr:txBody>
    </xdr:sp>
    <xdr:clientData/>
  </xdr:twoCellAnchor>
  <xdr:twoCellAnchor>
    <xdr:from>
      <xdr:col>12</xdr:col>
      <xdr:colOff>342900</xdr:colOff>
      <xdr:row>2</xdr:row>
      <xdr:rowOff>171450</xdr:rowOff>
    </xdr:from>
    <xdr:to>
      <xdr:col>14</xdr:col>
      <xdr:colOff>431800</xdr:colOff>
      <xdr:row>4</xdr:row>
      <xdr:rowOff>25400</xdr:rowOff>
    </xdr:to>
    <xdr:sp macro="" textlink="Sheet3!$E$4">
      <xdr:nvSpPr>
        <xdr:cNvPr id="19" name="Rectangle 18">
          <a:extLst>
            <a:ext uri="{FF2B5EF4-FFF2-40B4-BE49-F238E27FC236}">
              <a16:creationId xmlns:a16="http://schemas.microsoft.com/office/drawing/2014/main" id="{6290A5D9-06EA-4CBD-8A29-BC9AFFAED633}"/>
            </a:ext>
          </a:extLst>
        </xdr:cNvPr>
        <xdr:cNvSpPr/>
      </xdr:nvSpPr>
      <xdr:spPr>
        <a:xfrm>
          <a:off x="7658100" y="537210"/>
          <a:ext cx="1308100" cy="2197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12CC8ACB-A7A6-462E-8927-05B7D92F4C3A}" type="TxLink">
            <a:rPr lang="en-US" sz="1100" b="0" i="0" u="none" strike="noStrike">
              <a:solidFill>
                <a:srgbClr val="000000"/>
              </a:solidFill>
              <a:latin typeface="Calibri"/>
              <a:ea typeface="Calibri"/>
              <a:cs typeface="Calibri"/>
            </a:rPr>
            <a:pPr algn="l"/>
            <a:t>1157.831</a:t>
          </a:fld>
          <a:endParaRPr lang="en-IN" sz="1100"/>
        </a:p>
      </xdr:txBody>
    </xdr:sp>
    <xdr:clientData/>
  </xdr:twoCellAnchor>
  <xdr:twoCellAnchor>
    <xdr:from>
      <xdr:col>0</xdr:col>
      <xdr:colOff>234950</xdr:colOff>
      <xdr:row>12</xdr:row>
      <xdr:rowOff>6350</xdr:rowOff>
    </xdr:from>
    <xdr:to>
      <xdr:col>2</xdr:col>
      <xdr:colOff>374650</xdr:colOff>
      <xdr:row>15</xdr:row>
      <xdr:rowOff>50800</xdr:rowOff>
    </xdr:to>
    <xdr:sp macro="" textlink="">
      <xdr:nvSpPr>
        <xdr:cNvPr id="20" name="Rectangle 19">
          <a:extLst>
            <a:ext uri="{FF2B5EF4-FFF2-40B4-BE49-F238E27FC236}">
              <a16:creationId xmlns:a16="http://schemas.microsoft.com/office/drawing/2014/main" id="{57C3018C-23BC-46CC-B6EA-CDA56379D41C}"/>
            </a:ext>
          </a:extLst>
        </xdr:cNvPr>
        <xdr:cNvSpPr/>
      </xdr:nvSpPr>
      <xdr:spPr>
        <a:xfrm>
          <a:off x="234950" y="2216150"/>
          <a:ext cx="1358900" cy="5969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Shipping Performance &amp; Tax</a:t>
          </a:r>
        </a:p>
      </xdr:txBody>
    </xdr:sp>
    <xdr:clientData/>
  </xdr:twoCellAnchor>
  <xdr:twoCellAnchor>
    <xdr:from>
      <xdr:col>9</xdr:col>
      <xdr:colOff>63500</xdr:colOff>
      <xdr:row>4</xdr:row>
      <xdr:rowOff>139700</xdr:rowOff>
    </xdr:from>
    <xdr:to>
      <xdr:col>14</xdr:col>
      <xdr:colOff>590550</xdr:colOff>
      <xdr:row>13</xdr:row>
      <xdr:rowOff>101600</xdr:rowOff>
    </xdr:to>
    <xdr:sp macro="" textlink="">
      <xdr:nvSpPr>
        <xdr:cNvPr id="22" name="Rectangle 21">
          <a:extLst>
            <a:ext uri="{FF2B5EF4-FFF2-40B4-BE49-F238E27FC236}">
              <a16:creationId xmlns:a16="http://schemas.microsoft.com/office/drawing/2014/main" id="{2A5B5816-535C-44BC-A079-DA2BCFCB364C}"/>
            </a:ext>
          </a:extLst>
        </xdr:cNvPr>
        <xdr:cNvSpPr/>
      </xdr:nvSpPr>
      <xdr:spPr>
        <a:xfrm>
          <a:off x="5549900" y="876300"/>
          <a:ext cx="3575050" cy="16192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584200</xdr:colOff>
      <xdr:row>4</xdr:row>
      <xdr:rowOff>152400</xdr:rowOff>
    </xdr:from>
    <xdr:to>
      <xdr:col>9</xdr:col>
      <xdr:colOff>25400</xdr:colOff>
      <xdr:row>23</xdr:row>
      <xdr:rowOff>107950</xdr:rowOff>
    </xdr:to>
    <xdr:sp macro="" textlink="">
      <xdr:nvSpPr>
        <xdr:cNvPr id="24" name="Rectangle 23">
          <a:extLst>
            <a:ext uri="{FF2B5EF4-FFF2-40B4-BE49-F238E27FC236}">
              <a16:creationId xmlns:a16="http://schemas.microsoft.com/office/drawing/2014/main" id="{8E2DA6F3-67A7-4D82-BEAF-39008676C85B}"/>
            </a:ext>
          </a:extLst>
        </xdr:cNvPr>
        <xdr:cNvSpPr/>
      </xdr:nvSpPr>
      <xdr:spPr>
        <a:xfrm>
          <a:off x="1803400" y="889000"/>
          <a:ext cx="3708400" cy="34544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63500</xdr:colOff>
      <xdr:row>13</xdr:row>
      <xdr:rowOff>133350</xdr:rowOff>
    </xdr:from>
    <xdr:to>
      <xdr:col>19</xdr:col>
      <xdr:colOff>203200</xdr:colOff>
      <xdr:row>23</xdr:row>
      <xdr:rowOff>101600</xdr:rowOff>
    </xdr:to>
    <xdr:sp macro="" textlink="">
      <xdr:nvSpPr>
        <xdr:cNvPr id="26" name="Rectangle 25">
          <a:extLst>
            <a:ext uri="{FF2B5EF4-FFF2-40B4-BE49-F238E27FC236}">
              <a16:creationId xmlns:a16="http://schemas.microsoft.com/office/drawing/2014/main" id="{BBEA558B-D7B9-4B68-933E-A9DEE7E1ECA8}"/>
            </a:ext>
          </a:extLst>
        </xdr:cNvPr>
        <xdr:cNvSpPr/>
      </xdr:nvSpPr>
      <xdr:spPr>
        <a:xfrm>
          <a:off x="5549900" y="2527300"/>
          <a:ext cx="6235700" cy="18097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15</xdr:col>
      <xdr:colOff>12700</xdr:colOff>
      <xdr:row>1</xdr:row>
      <xdr:rowOff>82551</xdr:rowOff>
    </xdr:from>
    <xdr:to>
      <xdr:col>19</xdr:col>
      <xdr:colOff>190500</xdr:colOff>
      <xdr:row>6</xdr:row>
      <xdr:rowOff>44450</xdr:rowOff>
    </xdr:to>
    <mc:AlternateContent xmlns:mc="http://schemas.openxmlformats.org/markup-compatibility/2006" xmlns:a14="http://schemas.microsoft.com/office/drawing/2010/main">
      <mc:Choice Requires="a14">
        <xdr:graphicFrame macro="">
          <xdr:nvGraphicFramePr>
            <xdr:cNvPr id="30" name="year 1">
              <a:extLst>
                <a:ext uri="{FF2B5EF4-FFF2-40B4-BE49-F238E27FC236}">
                  <a16:creationId xmlns:a16="http://schemas.microsoft.com/office/drawing/2014/main" id="{4C927286-8D29-4A7A-B224-8255278D70F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156700" y="266701"/>
              <a:ext cx="2616200" cy="882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25400</xdr:colOff>
      <xdr:row>6</xdr:row>
      <xdr:rowOff>69850</xdr:rowOff>
    </xdr:from>
    <xdr:to>
      <xdr:col>19</xdr:col>
      <xdr:colOff>184150</xdr:colOff>
      <xdr:row>13</xdr:row>
      <xdr:rowOff>126999</xdr:rowOff>
    </xdr:to>
    <mc:AlternateContent xmlns:mc="http://schemas.openxmlformats.org/markup-compatibility/2006" xmlns:a14="http://schemas.microsoft.com/office/drawing/2010/main">
      <mc:Choice Requires="a14">
        <xdr:graphicFrame macro="">
          <xdr:nvGraphicFramePr>
            <xdr:cNvPr id="31" name="month 1">
              <a:extLst>
                <a:ext uri="{FF2B5EF4-FFF2-40B4-BE49-F238E27FC236}">
                  <a16:creationId xmlns:a16="http://schemas.microsoft.com/office/drawing/2014/main" id="{4720C33F-8465-4E3D-A1B7-1C991B55862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169400" y="1174750"/>
              <a:ext cx="2597150" cy="1346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63500</xdr:colOff>
      <xdr:row>4</xdr:row>
      <xdr:rowOff>139700</xdr:rowOff>
    </xdr:from>
    <xdr:to>
      <xdr:col>14</xdr:col>
      <xdr:colOff>571500</xdr:colOff>
      <xdr:row>14</xdr:row>
      <xdr:rowOff>38100</xdr:rowOff>
    </xdr:to>
    <xdr:graphicFrame macro="">
      <xdr:nvGraphicFramePr>
        <xdr:cNvPr id="34" name="Chart 33">
          <a:extLst>
            <a:ext uri="{FF2B5EF4-FFF2-40B4-BE49-F238E27FC236}">
              <a16:creationId xmlns:a16="http://schemas.microsoft.com/office/drawing/2014/main" id="{795F68A6-E558-4828-8113-B5BB4DF00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596900</xdr:colOff>
      <xdr:row>4</xdr:row>
      <xdr:rowOff>82550</xdr:rowOff>
    </xdr:from>
    <xdr:to>
      <xdr:col>9</xdr:col>
      <xdr:colOff>12700</xdr:colOff>
      <xdr:row>23</xdr:row>
      <xdr:rowOff>171450</xdr:rowOff>
    </xdr:to>
    <xdr:graphicFrame macro="">
      <xdr:nvGraphicFramePr>
        <xdr:cNvPr id="35" name="Chart 34">
          <a:extLst>
            <a:ext uri="{FF2B5EF4-FFF2-40B4-BE49-F238E27FC236}">
              <a16:creationId xmlns:a16="http://schemas.microsoft.com/office/drawing/2014/main" id="{CB2E14F3-289C-4B54-A731-A0505F53E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63500</xdr:colOff>
      <xdr:row>13</xdr:row>
      <xdr:rowOff>133350</xdr:rowOff>
    </xdr:from>
    <xdr:to>
      <xdr:col>19</xdr:col>
      <xdr:colOff>241300</xdr:colOff>
      <xdr:row>23</xdr:row>
      <xdr:rowOff>151130</xdr:rowOff>
    </xdr:to>
    <xdr:graphicFrame macro="">
      <xdr:nvGraphicFramePr>
        <xdr:cNvPr id="36" name="Chart 35">
          <a:extLst>
            <a:ext uri="{FF2B5EF4-FFF2-40B4-BE49-F238E27FC236}">
              <a16:creationId xmlns:a16="http://schemas.microsoft.com/office/drawing/2014/main" id="{BC69A04B-2681-469C-A8A5-4166286F2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12094</xdr:colOff>
      <xdr:row>0</xdr:row>
      <xdr:rowOff>12095</xdr:rowOff>
    </xdr:from>
    <xdr:to>
      <xdr:col>19</xdr:col>
      <xdr:colOff>171450</xdr:colOff>
      <xdr:row>1</xdr:row>
      <xdr:rowOff>72572</xdr:rowOff>
    </xdr:to>
    <xdr:sp macro="" textlink="">
      <xdr:nvSpPr>
        <xdr:cNvPr id="2" name="Rectangle: Rounded Corners 1">
          <a:extLst>
            <a:ext uri="{FF2B5EF4-FFF2-40B4-BE49-F238E27FC236}">
              <a16:creationId xmlns:a16="http://schemas.microsoft.com/office/drawing/2014/main" id="{56C19250-27DF-A53F-2388-FBFED8DA1A40}"/>
            </a:ext>
          </a:extLst>
        </xdr:cNvPr>
        <xdr:cNvSpPr/>
      </xdr:nvSpPr>
      <xdr:spPr>
        <a:xfrm>
          <a:off x="12094" y="12095"/>
          <a:ext cx="11741756" cy="244627"/>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100" b="1" i="1">
              <a:solidFill>
                <a:srgbClr val="FF0000"/>
              </a:solidFill>
            </a:rPr>
            <a:t>                                                                                                                                              SUPER</a:t>
          </a:r>
          <a:r>
            <a:rPr lang="en-IN" sz="1100" b="1" i="1" baseline="0">
              <a:solidFill>
                <a:srgbClr val="FF0000"/>
              </a:solidFill>
            </a:rPr>
            <a:t> MARKET DASHBOARD</a:t>
          </a:r>
          <a:endParaRPr lang="en-IN" sz="1100" b="1" i="1">
            <a:solidFill>
              <a:srgbClr val="FF0000"/>
            </a:solidFill>
          </a:endParaRPr>
        </a:p>
      </xdr:txBody>
    </xdr:sp>
    <xdr:clientData/>
  </xdr:twoCellAnchor>
  <xdr:twoCellAnchor>
    <xdr:from>
      <xdr:col>0</xdr:col>
      <xdr:colOff>25400</xdr:colOff>
      <xdr:row>1</xdr:row>
      <xdr:rowOff>82550</xdr:rowOff>
    </xdr:from>
    <xdr:to>
      <xdr:col>2</xdr:col>
      <xdr:colOff>565150</xdr:colOff>
      <xdr:row>23</xdr:row>
      <xdr:rowOff>120650</xdr:rowOff>
    </xdr:to>
    <xdr:sp macro="" textlink="">
      <xdr:nvSpPr>
        <xdr:cNvPr id="3" name="Rectangle 2">
          <a:extLst>
            <a:ext uri="{FF2B5EF4-FFF2-40B4-BE49-F238E27FC236}">
              <a16:creationId xmlns:a16="http://schemas.microsoft.com/office/drawing/2014/main" id="{80F382F1-F67E-1BAB-4966-B1665545EB9A}"/>
            </a:ext>
          </a:extLst>
        </xdr:cNvPr>
        <xdr:cNvSpPr/>
      </xdr:nvSpPr>
      <xdr:spPr>
        <a:xfrm>
          <a:off x="25400" y="263979"/>
          <a:ext cx="1761369" cy="4029528"/>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577850</xdr:colOff>
      <xdr:row>1</xdr:row>
      <xdr:rowOff>88900</xdr:rowOff>
    </xdr:from>
    <xdr:to>
      <xdr:col>5</xdr:col>
      <xdr:colOff>590550</xdr:colOff>
      <xdr:row>4</xdr:row>
      <xdr:rowOff>120650</xdr:rowOff>
    </xdr:to>
    <xdr:sp macro="" textlink="">
      <xdr:nvSpPr>
        <xdr:cNvPr id="4" name="Rectangle: Rounded Corners 3">
          <a:extLst>
            <a:ext uri="{FF2B5EF4-FFF2-40B4-BE49-F238E27FC236}">
              <a16:creationId xmlns:a16="http://schemas.microsoft.com/office/drawing/2014/main" id="{FA3C5653-1ED6-F640-C6A0-7F9414189319}"/>
            </a:ext>
          </a:extLst>
        </xdr:cNvPr>
        <xdr:cNvSpPr/>
      </xdr:nvSpPr>
      <xdr:spPr>
        <a:xfrm>
          <a:off x="1797050" y="273050"/>
          <a:ext cx="1841500" cy="5842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6350</xdr:colOff>
      <xdr:row>1</xdr:row>
      <xdr:rowOff>82550</xdr:rowOff>
    </xdr:from>
    <xdr:to>
      <xdr:col>9</xdr:col>
      <xdr:colOff>50800</xdr:colOff>
      <xdr:row>4</xdr:row>
      <xdr:rowOff>107950</xdr:rowOff>
    </xdr:to>
    <xdr:sp macro="" textlink="">
      <xdr:nvSpPr>
        <xdr:cNvPr id="5" name="Rectangle: Rounded Corners 4">
          <a:extLst>
            <a:ext uri="{FF2B5EF4-FFF2-40B4-BE49-F238E27FC236}">
              <a16:creationId xmlns:a16="http://schemas.microsoft.com/office/drawing/2014/main" id="{F0A9D73D-8342-4F88-8AAC-4433C9B7B12E}"/>
            </a:ext>
          </a:extLst>
        </xdr:cNvPr>
        <xdr:cNvSpPr/>
      </xdr:nvSpPr>
      <xdr:spPr>
        <a:xfrm>
          <a:off x="3663950" y="266700"/>
          <a:ext cx="1873250" cy="57785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82550</xdr:colOff>
      <xdr:row>1</xdr:row>
      <xdr:rowOff>82550</xdr:rowOff>
    </xdr:from>
    <xdr:to>
      <xdr:col>12</xdr:col>
      <xdr:colOff>19050</xdr:colOff>
      <xdr:row>4</xdr:row>
      <xdr:rowOff>107950</xdr:rowOff>
    </xdr:to>
    <xdr:sp macro="" textlink="">
      <xdr:nvSpPr>
        <xdr:cNvPr id="6" name="Rectangle: Rounded Corners 5">
          <a:extLst>
            <a:ext uri="{FF2B5EF4-FFF2-40B4-BE49-F238E27FC236}">
              <a16:creationId xmlns:a16="http://schemas.microsoft.com/office/drawing/2014/main" id="{98240637-C96D-4E24-8301-6D63D8EA0D64}"/>
            </a:ext>
          </a:extLst>
        </xdr:cNvPr>
        <xdr:cNvSpPr/>
      </xdr:nvSpPr>
      <xdr:spPr>
        <a:xfrm>
          <a:off x="5568950" y="266700"/>
          <a:ext cx="1765300" cy="57785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590550</xdr:colOff>
      <xdr:row>4</xdr:row>
      <xdr:rowOff>152400</xdr:rowOff>
    </xdr:from>
    <xdr:to>
      <xdr:col>9</xdr:col>
      <xdr:colOff>50800</xdr:colOff>
      <xdr:row>13</xdr:row>
      <xdr:rowOff>88900</xdr:rowOff>
    </xdr:to>
    <xdr:sp macro="" textlink="">
      <xdr:nvSpPr>
        <xdr:cNvPr id="7" name="Rectangle 6">
          <a:extLst>
            <a:ext uri="{FF2B5EF4-FFF2-40B4-BE49-F238E27FC236}">
              <a16:creationId xmlns:a16="http://schemas.microsoft.com/office/drawing/2014/main" id="{47600372-AE5A-6890-93E1-6B3CAF1921CE}"/>
            </a:ext>
          </a:extLst>
        </xdr:cNvPr>
        <xdr:cNvSpPr/>
      </xdr:nvSpPr>
      <xdr:spPr>
        <a:xfrm>
          <a:off x="1809750" y="889000"/>
          <a:ext cx="3727450" cy="15938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57150</xdr:colOff>
      <xdr:row>1</xdr:row>
      <xdr:rowOff>95250</xdr:rowOff>
    </xdr:from>
    <xdr:to>
      <xdr:col>14</xdr:col>
      <xdr:colOff>596900</xdr:colOff>
      <xdr:row>4</xdr:row>
      <xdr:rowOff>127000</xdr:rowOff>
    </xdr:to>
    <xdr:sp macro="" textlink="">
      <xdr:nvSpPr>
        <xdr:cNvPr id="9" name="Rectangle: Rounded Corners 8">
          <a:extLst>
            <a:ext uri="{FF2B5EF4-FFF2-40B4-BE49-F238E27FC236}">
              <a16:creationId xmlns:a16="http://schemas.microsoft.com/office/drawing/2014/main" id="{8B71CD27-C659-451D-BDF2-C6DBB6AA5423}"/>
            </a:ext>
          </a:extLst>
        </xdr:cNvPr>
        <xdr:cNvSpPr/>
      </xdr:nvSpPr>
      <xdr:spPr>
        <a:xfrm>
          <a:off x="7372350" y="279400"/>
          <a:ext cx="1758950" cy="5842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222250</xdr:colOff>
      <xdr:row>4</xdr:row>
      <xdr:rowOff>0</xdr:rowOff>
    </xdr:from>
    <xdr:to>
      <xdr:col>2</xdr:col>
      <xdr:colOff>393700</xdr:colOff>
      <xdr:row>5</xdr:row>
      <xdr:rowOff>120650</xdr:rowOff>
    </xdr:to>
    <xdr:sp macro="" textlink="">
      <xdr:nvSpPr>
        <xdr:cNvPr id="11" name="Rectangle: Rounded Corners 10">
          <a:extLst>
            <a:ext uri="{FF2B5EF4-FFF2-40B4-BE49-F238E27FC236}">
              <a16:creationId xmlns:a16="http://schemas.microsoft.com/office/drawing/2014/main" id="{1F8288E3-0FFA-4B17-71EE-46FB6DA9DE2C}"/>
            </a:ext>
          </a:extLst>
        </xdr:cNvPr>
        <xdr:cNvSpPr/>
      </xdr:nvSpPr>
      <xdr:spPr>
        <a:xfrm>
          <a:off x="222250" y="736600"/>
          <a:ext cx="1390650" cy="304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i="1"/>
            <a:t>      Overview</a:t>
          </a:r>
        </a:p>
      </xdr:txBody>
    </xdr:sp>
    <xdr:clientData/>
  </xdr:twoCellAnchor>
  <xdr:twoCellAnchor>
    <xdr:from>
      <xdr:col>0</xdr:col>
      <xdr:colOff>241300</xdr:colOff>
      <xdr:row>7</xdr:row>
      <xdr:rowOff>0</xdr:rowOff>
    </xdr:from>
    <xdr:to>
      <xdr:col>2</xdr:col>
      <xdr:colOff>381000</xdr:colOff>
      <xdr:row>8</xdr:row>
      <xdr:rowOff>107950</xdr:rowOff>
    </xdr:to>
    <xdr:sp macro="" textlink="">
      <xdr:nvSpPr>
        <xdr:cNvPr id="12" name="Rectangle 11">
          <a:extLst>
            <a:ext uri="{FF2B5EF4-FFF2-40B4-BE49-F238E27FC236}">
              <a16:creationId xmlns:a16="http://schemas.microsoft.com/office/drawing/2014/main" id="{036F29DD-3A6E-4CC2-09DE-280BE4628F63}"/>
            </a:ext>
          </a:extLst>
        </xdr:cNvPr>
        <xdr:cNvSpPr/>
      </xdr:nvSpPr>
      <xdr:spPr>
        <a:xfrm>
          <a:off x="241300" y="1289050"/>
          <a:ext cx="1358900" cy="2921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  Revenue Analysis</a:t>
          </a:r>
        </a:p>
      </xdr:txBody>
    </xdr:sp>
    <xdr:clientData/>
  </xdr:twoCellAnchor>
  <xdr:twoCellAnchor>
    <xdr:from>
      <xdr:col>0</xdr:col>
      <xdr:colOff>241300</xdr:colOff>
      <xdr:row>8</xdr:row>
      <xdr:rowOff>127000</xdr:rowOff>
    </xdr:from>
    <xdr:to>
      <xdr:col>2</xdr:col>
      <xdr:colOff>381000</xdr:colOff>
      <xdr:row>11</xdr:row>
      <xdr:rowOff>177800</xdr:rowOff>
    </xdr:to>
    <xdr:sp macro="" textlink="">
      <xdr:nvSpPr>
        <xdr:cNvPr id="13" name="Rectangle 12">
          <a:extLst>
            <a:ext uri="{FF2B5EF4-FFF2-40B4-BE49-F238E27FC236}">
              <a16:creationId xmlns:a16="http://schemas.microsoft.com/office/drawing/2014/main" id="{C8B4A3F0-9840-411B-958B-3FEBB3F200CF}"/>
            </a:ext>
          </a:extLst>
        </xdr:cNvPr>
        <xdr:cNvSpPr/>
      </xdr:nvSpPr>
      <xdr:spPr>
        <a:xfrm>
          <a:off x="241300" y="1600200"/>
          <a:ext cx="1358900" cy="6032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 Order&amp; Customer</a:t>
          </a:r>
          <a:r>
            <a:rPr lang="en-IN" sz="1100" b="1" i="1" baseline="0"/>
            <a:t> </a:t>
          </a:r>
          <a:r>
            <a:rPr lang="en-IN" sz="1100" b="1" i="1"/>
            <a:t>Analysis</a:t>
          </a:r>
        </a:p>
      </xdr:txBody>
    </xdr:sp>
    <xdr:clientData/>
  </xdr:twoCellAnchor>
  <xdr:twoCellAnchor>
    <xdr:from>
      <xdr:col>3</xdr:col>
      <xdr:colOff>342900</xdr:colOff>
      <xdr:row>1</xdr:row>
      <xdr:rowOff>120650</xdr:rowOff>
    </xdr:from>
    <xdr:to>
      <xdr:col>5</xdr:col>
      <xdr:colOff>495300</xdr:colOff>
      <xdr:row>3</xdr:row>
      <xdr:rowOff>38100</xdr:rowOff>
    </xdr:to>
    <xdr:sp macro="" textlink="">
      <xdr:nvSpPr>
        <xdr:cNvPr id="14" name="Rectangle 13">
          <a:extLst>
            <a:ext uri="{FF2B5EF4-FFF2-40B4-BE49-F238E27FC236}">
              <a16:creationId xmlns:a16="http://schemas.microsoft.com/office/drawing/2014/main" id="{FED5F6CD-A061-BCA0-6BEE-C54CC606DE09}"/>
            </a:ext>
          </a:extLst>
        </xdr:cNvPr>
        <xdr:cNvSpPr/>
      </xdr:nvSpPr>
      <xdr:spPr>
        <a:xfrm>
          <a:off x="2171700" y="304800"/>
          <a:ext cx="1371600" cy="28575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a:t>
          </a:r>
          <a:r>
            <a:rPr lang="en-IN" sz="1200" b="1" i="1" baseline="0"/>
            <a:t> Revenue</a:t>
          </a:r>
          <a:endParaRPr lang="en-IN" sz="1200" b="1" i="1"/>
        </a:p>
      </xdr:txBody>
    </xdr:sp>
    <xdr:clientData/>
  </xdr:twoCellAnchor>
  <xdr:twoCellAnchor>
    <xdr:from>
      <xdr:col>3</xdr:col>
      <xdr:colOff>304800</xdr:colOff>
      <xdr:row>2</xdr:row>
      <xdr:rowOff>158750</xdr:rowOff>
    </xdr:from>
    <xdr:to>
      <xdr:col>5</xdr:col>
      <xdr:colOff>393700</xdr:colOff>
      <xdr:row>4</xdr:row>
      <xdr:rowOff>12700</xdr:rowOff>
    </xdr:to>
    <xdr:sp macro="" textlink="Sheet3!$D$4">
      <xdr:nvSpPr>
        <xdr:cNvPr id="15" name="Rectangle 14">
          <a:extLst>
            <a:ext uri="{FF2B5EF4-FFF2-40B4-BE49-F238E27FC236}">
              <a16:creationId xmlns:a16="http://schemas.microsoft.com/office/drawing/2014/main" id="{C6F379F8-DB23-4413-8962-9902F13244E0}"/>
            </a:ext>
          </a:extLst>
        </xdr:cNvPr>
        <xdr:cNvSpPr/>
      </xdr:nvSpPr>
      <xdr:spPr>
        <a:xfrm>
          <a:off x="2133600" y="527050"/>
          <a:ext cx="1308100" cy="2222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r>
            <a:rPr lang="en-US" sz="1100" b="0" i="0" u="none" strike="noStrike" baseline="0">
              <a:solidFill>
                <a:srgbClr val="000000"/>
              </a:solidFill>
              <a:latin typeface="Calibri"/>
              <a:ea typeface="Calibri"/>
              <a:cs typeface="Calibri"/>
            </a:rPr>
            <a:t> </a:t>
          </a:r>
          <a:fld id="{0055FBA3-2EF2-4B54-A668-3B2D32493229}" type="TxLink">
            <a:rPr lang="en-US" sz="1100" b="0" i="0" u="none" strike="noStrike">
              <a:solidFill>
                <a:srgbClr val="000000"/>
              </a:solidFill>
              <a:latin typeface="Calibri"/>
              <a:ea typeface="Calibri"/>
              <a:cs typeface="Calibri"/>
            </a:rPr>
            <a:pPr algn="l"/>
            <a:t>11578.31</a:t>
          </a:fld>
          <a:endParaRPr lang="en-IN" sz="1100"/>
        </a:p>
      </xdr:txBody>
    </xdr:sp>
    <xdr:clientData/>
  </xdr:twoCellAnchor>
  <xdr:twoCellAnchor>
    <xdr:from>
      <xdr:col>6</xdr:col>
      <xdr:colOff>425450</xdr:colOff>
      <xdr:row>1</xdr:row>
      <xdr:rowOff>107950</xdr:rowOff>
    </xdr:from>
    <xdr:to>
      <xdr:col>8</xdr:col>
      <xdr:colOff>539750</xdr:colOff>
      <xdr:row>2</xdr:row>
      <xdr:rowOff>127000</xdr:rowOff>
    </xdr:to>
    <xdr:sp macro="" textlink="">
      <xdr:nvSpPr>
        <xdr:cNvPr id="16" name="Rectangle 15">
          <a:extLst>
            <a:ext uri="{FF2B5EF4-FFF2-40B4-BE49-F238E27FC236}">
              <a16:creationId xmlns:a16="http://schemas.microsoft.com/office/drawing/2014/main" id="{41F5136E-2FE6-4C62-AAD4-7769F9AA9BD5}"/>
            </a:ext>
          </a:extLst>
        </xdr:cNvPr>
        <xdr:cNvSpPr/>
      </xdr:nvSpPr>
      <xdr:spPr>
        <a:xfrm>
          <a:off x="4083050" y="292100"/>
          <a:ext cx="1333500" cy="20320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 Orders</a:t>
          </a:r>
        </a:p>
      </xdr:txBody>
    </xdr:sp>
    <xdr:clientData/>
  </xdr:twoCellAnchor>
  <xdr:twoCellAnchor>
    <xdr:from>
      <xdr:col>6</xdr:col>
      <xdr:colOff>374650</xdr:colOff>
      <xdr:row>3</xdr:row>
      <xdr:rowOff>19050</xdr:rowOff>
    </xdr:from>
    <xdr:to>
      <xdr:col>8</xdr:col>
      <xdr:colOff>463550</xdr:colOff>
      <xdr:row>4</xdr:row>
      <xdr:rowOff>25400</xdr:rowOff>
    </xdr:to>
    <xdr:sp macro="" textlink="Sheet3!$G$47">
      <xdr:nvSpPr>
        <xdr:cNvPr id="17" name="Rectangle 16">
          <a:extLst>
            <a:ext uri="{FF2B5EF4-FFF2-40B4-BE49-F238E27FC236}">
              <a16:creationId xmlns:a16="http://schemas.microsoft.com/office/drawing/2014/main" id="{D9A151B9-7D98-4730-B5EE-3DC01833AF50}"/>
            </a:ext>
          </a:extLst>
        </xdr:cNvPr>
        <xdr:cNvSpPr/>
      </xdr:nvSpPr>
      <xdr:spPr>
        <a:xfrm>
          <a:off x="4032250" y="571500"/>
          <a:ext cx="1308100" cy="1905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52</a:t>
          </a:r>
          <a:endParaRPr lang="en-IN" sz="1100"/>
        </a:p>
      </xdr:txBody>
    </xdr:sp>
    <xdr:clientData/>
  </xdr:twoCellAnchor>
  <xdr:twoCellAnchor>
    <xdr:from>
      <xdr:col>9</xdr:col>
      <xdr:colOff>406400</xdr:colOff>
      <xdr:row>1</xdr:row>
      <xdr:rowOff>127000</xdr:rowOff>
    </xdr:from>
    <xdr:to>
      <xdr:col>11</xdr:col>
      <xdr:colOff>495300</xdr:colOff>
      <xdr:row>2</xdr:row>
      <xdr:rowOff>158750</xdr:rowOff>
    </xdr:to>
    <xdr:sp macro="" textlink="">
      <xdr:nvSpPr>
        <xdr:cNvPr id="18" name="Rectangle 17">
          <a:extLst>
            <a:ext uri="{FF2B5EF4-FFF2-40B4-BE49-F238E27FC236}">
              <a16:creationId xmlns:a16="http://schemas.microsoft.com/office/drawing/2014/main" id="{2517EAAF-1B77-4CE2-A2A7-F29C19B27701}"/>
            </a:ext>
          </a:extLst>
        </xdr:cNvPr>
        <xdr:cNvSpPr/>
      </xdr:nvSpPr>
      <xdr:spPr>
        <a:xfrm>
          <a:off x="5892800" y="311150"/>
          <a:ext cx="1308100" cy="21590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 Quantity</a:t>
          </a:r>
        </a:p>
      </xdr:txBody>
    </xdr:sp>
    <xdr:clientData/>
  </xdr:twoCellAnchor>
  <xdr:twoCellAnchor>
    <xdr:from>
      <xdr:col>9</xdr:col>
      <xdr:colOff>406400</xdr:colOff>
      <xdr:row>2</xdr:row>
      <xdr:rowOff>177800</xdr:rowOff>
    </xdr:from>
    <xdr:to>
      <xdr:col>11</xdr:col>
      <xdr:colOff>495300</xdr:colOff>
      <xdr:row>4</xdr:row>
      <xdr:rowOff>19050</xdr:rowOff>
    </xdr:to>
    <xdr:sp macro="" textlink="Sheet3!$F$4">
      <xdr:nvSpPr>
        <xdr:cNvPr id="19" name="Rectangle 18">
          <a:extLst>
            <a:ext uri="{FF2B5EF4-FFF2-40B4-BE49-F238E27FC236}">
              <a16:creationId xmlns:a16="http://schemas.microsoft.com/office/drawing/2014/main" id="{A4F8CDF7-1EB1-4239-BB8F-6576C972B98C}"/>
            </a:ext>
          </a:extLst>
        </xdr:cNvPr>
        <xdr:cNvSpPr/>
      </xdr:nvSpPr>
      <xdr:spPr>
        <a:xfrm>
          <a:off x="5892800" y="546100"/>
          <a:ext cx="1308100" cy="209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245180AC-7EBB-4EB0-867D-822F3F9A463C}" type="TxLink">
            <a:rPr lang="en-US" sz="1100" b="0" i="0" u="none" strike="noStrike">
              <a:solidFill>
                <a:srgbClr val="000000"/>
              </a:solidFill>
              <a:latin typeface="Calibri"/>
              <a:ea typeface="Calibri"/>
              <a:cs typeface="Calibri"/>
            </a:rPr>
            <a:pPr algn="l"/>
            <a:t>169</a:t>
          </a:fld>
          <a:endParaRPr lang="en-IN" sz="1100"/>
        </a:p>
      </xdr:txBody>
    </xdr:sp>
    <xdr:clientData/>
  </xdr:twoCellAnchor>
  <xdr:twoCellAnchor>
    <xdr:from>
      <xdr:col>12</xdr:col>
      <xdr:colOff>330200</xdr:colOff>
      <xdr:row>1</xdr:row>
      <xdr:rowOff>133350</xdr:rowOff>
    </xdr:from>
    <xdr:to>
      <xdr:col>14</xdr:col>
      <xdr:colOff>419100</xdr:colOff>
      <xdr:row>2</xdr:row>
      <xdr:rowOff>171450</xdr:rowOff>
    </xdr:to>
    <xdr:sp macro="" textlink="">
      <xdr:nvSpPr>
        <xdr:cNvPr id="20" name="Rectangle 19">
          <a:extLst>
            <a:ext uri="{FF2B5EF4-FFF2-40B4-BE49-F238E27FC236}">
              <a16:creationId xmlns:a16="http://schemas.microsoft.com/office/drawing/2014/main" id="{A4851FD0-00A0-4089-912F-3211192DE072}"/>
            </a:ext>
          </a:extLst>
        </xdr:cNvPr>
        <xdr:cNvSpPr/>
      </xdr:nvSpPr>
      <xdr:spPr>
        <a:xfrm>
          <a:off x="7645400" y="317500"/>
          <a:ext cx="1308100" cy="222250"/>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i="1"/>
            <a:t>             Total Tax</a:t>
          </a:r>
        </a:p>
      </xdr:txBody>
    </xdr:sp>
    <xdr:clientData/>
  </xdr:twoCellAnchor>
  <xdr:twoCellAnchor>
    <xdr:from>
      <xdr:col>12</xdr:col>
      <xdr:colOff>342900</xdr:colOff>
      <xdr:row>2</xdr:row>
      <xdr:rowOff>171450</xdr:rowOff>
    </xdr:from>
    <xdr:to>
      <xdr:col>14</xdr:col>
      <xdr:colOff>431800</xdr:colOff>
      <xdr:row>4</xdr:row>
      <xdr:rowOff>25400</xdr:rowOff>
    </xdr:to>
    <xdr:sp macro="" textlink="Sheet3!$E$4">
      <xdr:nvSpPr>
        <xdr:cNvPr id="21" name="Rectangle 20">
          <a:extLst>
            <a:ext uri="{FF2B5EF4-FFF2-40B4-BE49-F238E27FC236}">
              <a16:creationId xmlns:a16="http://schemas.microsoft.com/office/drawing/2014/main" id="{884E035A-0596-45F5-96BB-506875B41DB9}"/>
            </a:ext>
          </a:extLst>
        </xdr:cNvPr>
        <xdr:cNvSpPr/>
      </xdr:nvSpPr>
      <xdr:spPr>
        <a:xfrm>
          <a:off x="7658100" y="539750"/>
          <a:ext cx="1308100" cy="2222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12CC8ACB-A7A6-462E-8927-05B7D92F4C3A}" type="TxLink">
            <a:rPr lang="en-US" sz="1100" b="0" i="0" u="none" strike="noStrike">
              <a:solidFill>
                <a:srgbClr val="000000"/>
              </a:solidFill>
              <a:latin typeface="Calibri"/>
              <a:ea typeface="Calibri"/>
              <a:cs typeface="Calibri"/>
            </a:rPr>
            <a:pPr algn="l"/>
            <a:t>1157.831</a:t>
          </a:fld>
          <a:endParaRPr lang="en-IN" sz="1100"/>
        </a:p>
      </xdr:txBody>
    </xdr:sp>
    <xdr:clientData/>
  </xdr:twoCellAnchor>
  <xdr:twoCellAnchor>
    <xdr:from>
      <xdr:col>0</xdr:col>
      <xdr:colOff>234950</xdr:colOff>
      <xdr:row>12</xdr:row>
      <xdr:rowOff>19050</xdr:rowOff>
    </xdr:from>
    <xdr:to>
      <xdr:col>2</xdr:col>
      <xdr:colOff>381000</xdr:colOff>
      <xdr:row>15</xdr:row>
      <xdr:rowOff>31750</xdr:rowOff>
    </xdr:to>
    <xdr:sp macro="" textlink="">
      <xdr:nvSpPr>
        <xdr:cNvPr id="22" name="Rectangle 21">
          <a:extLst>
            <a:ext uri="{FF2B5EF4-FFF2-40B4-BE49-F238E27FC236}">
              <a16:creationId xmlns:a16="http://schemas.microsoft.com/office/drawing/2014/main" id="{AC485E74-0128-45A4-B892-F88E0E9146DB}"/>
            </a:ext>
          </a:extLst>
        </xdr:cNvPr>
        <xdr:cNvSpPr/>
      </xdr:nvSpPr>
      <xdr:spPr>
        <a:xfrm>
          <a:off x="234950" y="2228850"/>
          <a:ext cx="1365250" cy="5651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Shipping Performance &amp; Tax</a:t>
          </a:r>
        </a:p>
      </xdr:txBody>
    </xdr:sp>
    <xdr:clientData/>
  </xdr:twoCellAnchor>
  <xdr:twoCellAnchor>
    <xdr:from>
      <xdr:col>9</xdr:col>
      <xdr:colOff>69850</xdr:colOff>
      <xdr:row>4</xdr:row>
      <xdr:rowOff>146050</xdr:rowOff>
    </xdr:from>
    <xdr:to>
      <xdr:col>14</xdr:col>
      <xdr:colOff>596900</xdr:colOff>
      <xdr:row>13</xdr:row>
      <xdr:rowOff>107950</xdr:rowOff>
    </xdr:to>
    <xdr:sp macro="" textlink="">
      <xdr:nvSpPr>
        <xdr:cNvPr id="8" name="Rectangle 7">
          <a:extLst>
            <a:ext uri="{FF2B5EF4-FFF2-40B4-BE49-F238E27FC236}">
              <a16:creationId xmlns:a16="http://schemas.microsoft.com/office/drawing/2014/main" id="{F9CD5055-A8D2-4E8A-B134-A6D3277F0E0A}"/>
            </a:ext>
          </a:extLst>
        </xdr:cNvPr>
        <xdr:cNvSpPr/>
      </xdr:nvSpPr>
      <xdr:spPr>
        <a:xfrm>
          <a:off x="5556250" y="882650"/>
          <a:ext cx="3575050" cy="16192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596900</xdr:colOff>
      <xdr:row>4</xdr:row>
      <xdr:rowOff>146050</xdr:rowOff>
    </xdr:from>
    <xdr:to>
      <xdr:col>9</xdr:col>
      <xdr:colOff>12700</xdr:colOff>
      <xdr:row>13</xdr:row>
      <xdr:rowOff>38100</xdr:rowOff>
    </xdr:to>
    <xdr:graphicFrame macro="">
      <xdr:nvGraphicFramePr>
        <xdr:cNvPr id="10" name="Chart 9">
          <a:extLst>
            <a:ext uri="{FF2B5EF4-FFF2-40B4-BE49-F238E27FC236}">
              <a16:creationId xmlns:a16="http://schemas.microsoft.com/office/drawing/2014/main" id="{79C4FE60-8494-4D62-8103-ADA42684A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596900</xdr:colOff>
      <xdr:row>13</xdr:row>
      <xdr:rowOff>127000</xdr:rowOff>
    </xdr:from>
    <xdr:to>
      <xdr:col>9</xdr:col>
      <xdr:colOff>38100</xdr:colOff>
      <xdr:row>23</xdr:row>
      <xdr:rowOff>107950</xdr:rowOff>
    </xdr:to>
    <xdr:sp macro="" textlink="">
      <xdr:nvSpPr>
        <xdr:cNvPr id="24" name="Rectangle 23">
          <a:extLst>
            <a:ext uri="{FF2B5EF4-FFF2-40B4-BE49-F238E27FC236}">
              <a16:creationId xmlns:a16="http://schemas.microsoft.com/office/drawing/2014/main" id="{F7A54DAD-87B1-444D-BED4-240511AF76C9}"/>
            </a:ext>
          </a:extLst>
        </xdr:cNvPr>
        <xdr:cNvSpPr/>
      </xdr:nvSpPr>
      <xdr:spPr>
        <a:xfrm>
          <a:off x="1818519" y="2485571"/>
          <a:ext cx="3716867" cy="179523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69850</xdr:colOff>
      <xdr:row>4</xdr:row>
      <xdr:rowOff>146050</xdr:rowOff>
    </xdr:from>
    <xdr:to>
      <xdr:col>15</xdr:col>
      <xdr:colOff>0</xdr:colOff>
      <xdr:row>13</xdr:row>
      <xdr:rowOff>107950</xdr:rowOff>
    </xdr:to>
    <xdr:graphicFrame macro="">
      <xdr:nvGraphicFramePr>
        <xdr:cNvPr id="25" name="Chart 24">
          <a:extLst>
            <a:ext uri="{FF2B5EF4-FFF2-40B4-BE49-F238E27FC236}">
              <a16:creationId xmlns:a16="http://schemas.microsoft.com/office/drawing/2014/main" id="{9D8F5EF6-3BFA-4043-BC2F-AE2071F25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63500</xdr:colOff>
      <xdr:row>13</xdr:row>
      <xdr:rowOff>133350</xdr:rowOff>
    </xdr:from>
    <xdr:to>
      <xdr:col>14</xdr:col>
      <xdr:colOff>596900</xdr:colOff>
      <xdr:row>23</xdr:row>
      <xdr:rowOff>101600</xdr:rowOff>
    </xdr:to>
    <xdr:sp macro="" textlink="">
      <xdr:nvSpPr>
        <xdr:cNvPr id="26" name="Rectangle 25">
          <a:extLst>
            <a:ext uri="{FF2B5EF4-FFF2-40B4-BE49-F238E27FC236}">
              <a16:creationId xmlns:a16="http://schemas.microsoft.com/office/drawing/2014/main" id="{BAD7E1C5-EF20-4F77-8DA0-E9ED089A57BF}"/>
            </a:ext>
          </a:extLst>
        </xdr:cNvPr>
        <xdr:cNvSpPr/>
      </xdr:nvSpPr>
      <xdr:spPr>
        <a:xfrm>
          <a:off x="5560786" y="2491921"/>
          <a:ext cx="3587447" cy="178253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25400</xdr:colOff>
      <xdr:row>13</xdr:row>
      <xdr:rowOff>120650</xdr:rowOff>
    </xdr:from>
    <xdr:to>
      <xdr:col>9</xdr:col>
      <xdr:colOff>25400</xdr:colOff>
      <xdr:row>23</xdr:row>
      <xdr:rowOff>107950</xdr:rowOff>
    </xdr:to>
    <xdr:graphicFrame macro="">
      <xdr:nvGraphicFramePr>
        <xdr:cNvPr id="27" name="Chart 26">
          <a:extLst>
            <a:ext uri="{FF2B5EF4-FFF2-40B4-BE49-F238E27FC236}">
              <a16:creationId xmlns:a16="http://schemas.microsoft.com/office/drawing/2014/main" id="{2A876177-DD20-4F4C-A5DB-6DFCF8E95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76200</xdr:colOff>
      <xdr:row>13</xdr:row>
      <xdr:rowOff>152400</xdr:rowOff>
    </xdr:from>
    <xdr:to>
      <xdr:col>15</xdr:col>
      <xdr:colOff>19050</xdr:colOff>
      <xdr:row>23</xdr:row>
      <xdr:rowOff>120650</xdr:rowOff>
    </xdr:to>
    <xdr:graphicFrame macro="">
      <xdr:nvGraphicFramePr>
        <xdr:cNvPr id="28" name="Chart 27">
          <a:extLst>
            <a:ext uri="{FF2B5EF4-FFF2-40B4-BE49-F238E27FC236}">
              <a16:creationId xmlns:a16="http://schemas.microsoft.com/office/drawing/2014/main" id="{625C7C48-732B-4C07-BE9F-7406EFA59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12700</xdr:colOff>
      <xdr:row>1</xdr:row>
      <xdr:rowOff>82551</xdr:rowOff>
    </xdr:from>
    <xdr:to>
      <xdr:col>19</xdr:col>
      <xdr:colOff>190500</xdr:colOff>
      <xdr:row>6</xdr:row>
      <xdr:rowOff>44450</xdr:rowOff>
    </xdr:to>
    <mc:AlternateContent xmlns:mc="http://schemas.openxmlformats.org/markup-compatibility/2006" xmlns:a14="http://schemas.microsoft.com/office/drawing/2010/main">
      <mc:Choice Requires="a14">
        <xdr:graphicFrame macro="">
          <xdr:nvGraphicFramePr>
            <xdr:cNvPr id="30" name="year">
              <a:extLst>
                <a:ext uri="{FF2B5EF4-FFF2-40B4-BE49-F238E27FC236}">
                  <a16:creationId xmlns:a16="http://schemas.microsoft.com/office/drawing/2014/main" id="{003EF729-805B-415D-AFF8-C959BF320E7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56700" y="266701"/>
              <a:ext cx="2616200" cy="882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25400</xdr:colOff>
      <xdr:row>6</xdr:row>
      <xdr:rowOff>69850</xdr:rowOff>
    </xdr:from>
    <xdr:to>
      <xdr:col>19</xdr:col>
      <xdr:colOff>184150</xdr:colOff>
      <xdr:row>13</xdr:row>
      <xdr:rowOff>126999</xdr:rowOff>
    </xdr:to>
    <mc:AlternateContent xmlns:mc="http://schemas.openxmlformats.org/markup-compatibility/2006" xmlns:a14="http://schemas.microsoft.com/office/drawing/2010/main">
      <mc:Choice Requires="a14">
        <xdr:graphicFrame macro="">
          <xdr:nvGraphicFramePr>
            <xdr:cNvPr id="31" name="month">
              <a:extLst>
                <a:ext uri="{FF2B5EF4-FFF2-40B4-BE49-F238E27FC236}">
                  <a16:creationId xmlns:a16="http://schemas.microsoft.com/office/drawing/2014/main" id="{7AFAA13B-5B73-4F30-872E-143B4275BA6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169400" y="1174750"/>
              <a:ext cx="2597150" cy="1346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19050</xdr:colOff>
      <xdr:row>13</xdr:row>
      <xdr:rowOff>146050</xdr:rowOff>
    </xdr:from>
    <xdr:to>
      <xdr:col>19</xdr:col>
      <xdr:colOff>190500</xdr:colOff>
      <xdr:row>23</xdr:row>
      <xdr:rowOff>95250</xdr:rowOff>
    </xdr:to>
    <xdr:sp macro="" textlink="">
      <xdr:nvSpPr>
        <xdr:cNvPr id="33" name="Rectangle 32">
          <a:extLst>
            <a:ext uri="{FF2B5EF4-FFF2-40B4-BE49-F238E27FC236}">
              <a16:creationId xmlns:a16="http://schemas.microsoft.com/office/drawing/2014/main" id="{0CF346A1-59AB-5A18-5D98-73C0CA90AB71}"/>
            </a:ext>
          </a:extLst>
        </xdr:cNvPr>
        <xdr:cNvSpPr/>
      </xdr:nvSpPr>
      <xdr:spPr>
        <a:xfrm>
          <a:off x="9163050" y="2540000"/>
          <a:ext cx="2609850" cy="1790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19050</xdr:colOff>
      <xdr:row>13</xdr:row>
      <xdr:rowOff>146050</xdr:rowOff>
    </xdr:from>
    <xdr:to>
      <xdr:col>19</xdr:col>
      <xdr:colOff>139700</xdr:colOff>
      <xdr:row>23</xdr:row>
      <xdr:rowOff>76200</xdr:rowOff>
    </xdr:to>
    <xdr:graphicFrame macro="">
      <xdr:nvGraphicFramePr>
        <xdr:cNvPr id="34" name="Chart 33">
          <a:extLst>
            <a:ext uri="{FF2B5EF4-FFF2-40B4-BE49-F238E27FC236}">
              <a16:creationId xmlns:a16="http://schemas.microsoft.com/office/drawing/2014/main" id="{3C399A24-E6C5-4ADF-82E3-84F81DBA7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SHAW" refreshedDate="46023.624893287037" createdVersion="8" refreshedVersion="8" minRefreshableVersion="3" recordCount="70" xr:uid="{35F08348-8AB2-42EE-8AC9-894255B49BEB}">
  <cacheSource type="worksheet">
    <worksheetSource name="Table1"/>
  </cacheSource>
  <cacheFields count="17">
    <cacheField name="Order no" numFmtId="0">
      <sharedItems containsSemiMixedTypes="0" containsString="0" containsNumber="1" containsInteger="1" minValue="1001" maxValue="1070"/>
    </cacheField>
    <cacheField name="Order Date" numFmtId="14">
      <sharedItems containsSemiMixedTypes="0" containsNonDate="0" containsDate="1" containsString="0" minDate="2024-01-01T00:00:00" maxDate="2024-03-11T00:00:00" count="7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sharedItems>
      <fieldGroup par="14"/>
    </cacheField>
    <cacheField name="Customer Name" numFmtId="0">
      <sharedItems count="52">
        <s v="John Smith"/>
        <s v="Jane Doe"/>
        <s v="Michael Johnson"/>
        <s v="Emily Brown"/>
        <s v="David Wilson"/>
        <s v="Lisa Taylor"/>
        <s v="Daniel Martinez"/>
        <s v="Sarah Anderson"/>
        <s v="Chritopher Thomas"/>
        <s v=" Kimberly Garcia"/>
        <s v="william Harnadez"/>
        <s v="Mellisa Lopez"/>
        <s v="Richard Perez"/>
        <s v="Jessica Gonzalwz"/>
        <s v="Matthew Wilson"/>
        <s v="Amanda"/>
        <s v="James Jhonson"/>
        <s v="Laura Brown"/>
        <s v="Daniel Smith"/>
        <s v="Jennifer Davis"/>
        <s v="Michael Garcia"/>
        <s v="Amy Hranandez"/>
        <s v="Christopher Rodriguez"/>
        <s v="Jessica Martinez"/>
        <s v="Sarah Smith"/>
        <s v="Matthew Jhonson"/>
        <s v="Emilly Davis"/>
        <s v="Daniel Wilson"/>
        <s v="Jennifer Martinez"/>
        <s v="Michael Smith"/>
        <s v="Jessica Jhinson"/>
        <s v="David Brown"/>
        <s v="Saraah"/>
        <s v="Mathew jhonson"/>
        <s v="Jessica"/>
        <s v="David"/>
        <s v="Sarah Jhonson"/>
        <s v="Matthew Garcia"/>
        <s v="Daniel Hernadez"/>
        <s v="Michael Martinez"/>
        <s v="Jessica Wilson"/>
        <s v="Sarah Gonzalez "/>
        <s v="Emilly Brown"/>
        <s v="Michael"/>
        <s v="David "/>
        <s v="Matthew Smith"/>
        <s v="Jessica Smith"/>
        <s v="Emilly"/>
        <s v="Daniel"/>
        <s v="Jennifer Hernandez"/>
        <s v="Jennifer"/>
        <s v="Danniel Brown"/>
      </sharedItems>
    </cacheField>
    <cacheField name="Ship Date" numFmtId="14">
      <sharedItems containsSemiMixedTypes="0" containsNonDate="0" containsDate="1" containsString="0" minDate="2024-01-03T00:00:00" maxDate="2024-03-13T00:00:00" count="7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sharedItems>
      <fieldGroup par="16"/>
    </cacheField>
    <cacheField name="Retail Price" numFmtId="0">
      <sharedItems containsSemiMixedTypes="0" containsString="0" containsNumber="1" minValue="19.989999999999998" maxValue="199.99"/>
    </cacheField>
    <cacheField name="Order Quantity" numFmtId="0">
      <sharedItems containsSemiMixedTypes="0" containsString="0" containsNumber="1" containsInteger="1" minValue="1" maxValue="5"/>
    </cacheField>
    <cacheField name="Revenue" numFmtId="0">
      <sharedItems containsSemiMixedTypes="0" containsString="0" containsNumber="1" minValue="19.989999999999998" maxValue="999.95"/>
    </cacheField>
    <cacheField name="Tax" numFmtId="0">
      <sharedItems containsSemiMixedTypes="0" containsString="0" containsNumber="1" minValue="1.9990000000000001" maxValue="99.995000000000005"/>
    </cacheField>
    <cacheField name="Total" numFmtId="0">
      <sharedItems containsSemiMixedTypes="0" containsString="0" containsNumber="1" minValue="20.99" maxValue="1004.95"/>
    </cacheField>
    <cacheField name="Product Nmae" numFmtId="0">
      <sharedItems count="27">
        <s v="Rice"/>
        <s v="Flour"/>
        <s v="Chocos"/>
        <s v="Vegetales"/>
        <s v="Milk"/>
        <s v="Fruits"/>
        <s v="Mango"/>
        <s v="Gram"/>
        <s v="Coffee"/>
        <s v="Tea"/>
        <s v="Soap"/>
        <s v="Pulse"/>
        <s v="Brush"/>
        <s v="Gram Flour "/>
        <s v="Powdwe"/>
        <s v="Coldy"/>
        <s v="Spices"/>
        <s v="Oil"/>
        <s v="Ket Rice"/>
        <s v="Turmeric"/>
        <s v="Salt"/>
        <s v="Candy"/>
        <s v="Pasty"/>
        <s v="Wheat"/>
        <s v="Crunch"/>
        <s v="Vegg"/>
        <s v="detergent"/>
      </sharedItems>
    </cacheField>
    <cacheField name="Day" numFmtId="9">
      <sharedItems count="7">
        <s v="Wednesday"/>
        <s v="Thursday"/>
        <s v="Friday"/>
        <s v="Saturday"/>
        <s v="Sunday"/>
        <s v="Monday"/>
        <s v="Tuesday"/>
      </sharedItems>
    </cacheField>
    <cacheField name="month" numFmtId="0">
      <sharedItems count="3">
        <s v="January"/>
        <s v="February"/>
        <s v="March"/>
      </sharedItems>
    </cacheField>
    <cacheField name="year" numFmtId="0">
      <sharedItems count="1">
        <s v="2024"/>
      </sharedItems>
    </cacheField>
    <cacheField name="Days (Order Date)" numFmtId="0" databaseField="0">
      <fieldGroup base="1">
        <rangePr groupBy="days" startDate="2024-01-01T00:00:00" endDate="2024-03-1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11/2024"/>
        </groupItems>
      </fieldGroup>
    </cacheField>
    <cacheField name="Months (Order Date)" numFmtId="0" databaseField="0">
      <fieldGroup base="1">
        <rangePr groupBy="months" startDate="2024-01-01T00:00:00" endDate="2024-03-11T00:00:00"/>
        <groupItems count="14">
          <s v="&lt;1/1/2024"/>
          <s v="Jan"/>
          <s v="Feb"/>
          <s v="Mar"/>
          <s v="Apr"/>
          <s v="May"/>
          <s v="Jun"/>
          <s v="Jul"/>
          <s v="Aug"/>
          <s v="Sep"/>
          <s v="Oct"/>
          <s v="Nov"/>
          <s v="Dec"/>
          <s v="&gt;3/11/2024"/>
        </groupItems>
      </fieldGroup>
    </cacheField>
    <cacheField name="Days (Ship Date)" numFmtId="0" databaseField="0">
      <fieldGroup base="3">
        <rangePr groupBy="days" startDate="2024-01-03T00:00:00" endDate="2024-03-13T00:00:00"/>
        <groupItems count="368">
          <s v="&lt;1/3/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13/2024"/>
        </groupItems>
      </fieldGroup>
    </cacheField>
    <cacheField name="Months (Ship Date)" numFmtId="0" databaseField="0">
      <fieldGroup base="3">
        <rangePr groupBy="months" startDate="2024-01-03T00:00:00" endDate="2024-03-13T00:00:00"/>
        <groupItems count="14">
          <s v="&lt;1/3/2024"/>
          <s v="Jan"/>
          <s v="Feb"/>
          <s v="Mar"/>
          <s v="Apr"/>
          <s v="May"/>
          <s v="Jun"/>
          <s v="Jul"/>
          <s v="Aug"/>
          <s v="Sep"/>
          <s v="Oct"/>
          <s v="Nov"/>
          <s v="Dec"/>
          <s v="&gt;3/13/2024"/>
        </groupItems>
      </fieldGroup>
    </cacheField>
  </cacheFields>
  <extLst>
    <ext xmlns:x14="http://schemas.microsoft.com/office/spreadsheetml/2009/9/main" uri="{725AE2AE-9491-48be-B2B4-4EB974FC3084}">
      <x14:pivotCacheDefinition pivotCacheId="1122712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n v="1001"/>
    <x v="0"/>
    <x v="0"/>
    <x v="0"/>
    <n v="49.99"/>
    <n v="2"/>
    <n v="99.98"/>
    <n v="9.9979999999999993"/>
    <n v="101.98"/>
    <x v="0"/>
    <x v="0"/>
    <x v="0"/>
    <x v="0"/>
  </r>
  <r>
    <n v="1002"/>
    <x v="1"/>
    <x v="1"/>
    <x v="1"/>
    <n v="29.99"/>
    <n v="1"/>
    <n v="29.99"/>
    <n v="2.9990000000000001"/>
    <n v="30.99"/>
    <x v="1"/>
    <x v="1"/>
    <x v="0"/>
    <x v="0"/>
  </r>
  <r>
    <n v="1003"/>
    <x v="2"/>
    <x v="2"/>
    <x v="2"/>
    <n v="99.99"/>
    <n v="3"/>
    <n v="299.96999999999997"/>
    <n v="29.997"/>
    <n v="302.96999999999997"/>
    <x v="2"/>
    <x v="2"/>
    <x v="0"/>
    <x v="0"/>
  </r>
  <r>
    <n v="1004"/>
    <x v="3"/>
    <x v="3"/>
    <x v="3"/>
    <n v="19.989999999999998"/>
    <n v="4"/>
    <n v="79.959999999999994"/>
    <n v="7.9960000000000004"/>
    <n v="83.96"/>
    <x v="3"/>
    <x v="3"/>
    <x v="0"/>
    <x v="0"/>
  </r>
  <r>
    <n v="1005"/>
    <x v="4"/>
    <x v="4"/>
    <x v="4"/>
    <n v="149.99"/>
    <n v="1"/>
    <n v="149.99"/>
    <n v="14.999000000000001"/>
    <n v="150.99"/>
    <x v="4"/>
    <x v="4"/>
    <x v="0"/>
    <x v="0"/>
  </r>
  <r>
    <n v="1006"/>
    <x v="5"/>
    <x v="5"/>
    <x v="5"/>
    <n v="79.989999999999995"/>
    <n v="2"/>
    <n v="159.97999999999999"/>
    <n v="15.997999999999999"/>
    <n v="161.97999999999999"/>
    <x v="5"/>
    <x v="5"/>
    <x v="0"/>
    <x v="0"/>
  </r>
  <r>
    <n v="1007"/>
    <x v="6"/>
    <x v="6"/>
    <x v="6"/>
    <n v="39.99"/>
    <n v="3"/>
    <n v="119.97"/>
    <n v="11.997"/>
    <n v="122.97"/>
    <x v="6"/>
    <x v="6"/>
    <x v="0"/>
    <x v="0"/>
  </r>
  <r>
    <n v="1008"/>
    <x v="7"/>
    <x v="7"/>
    <x v="7"/>
    <n v="69.989999999999995"/>
    <n v="1"/>
    <n v="69.989999999999995"/>
    <n v="6.9989999999999997"/>
    <n v="70.989999999999995"/>
    <x v="0"/>
    <x v="0"/>
    <x v="0"/>
    <x v="0"/>
  </r>
  <r>
    <n v="1009"/>
    <x v="8"/>
    <x v="8"/>
    <x v="8"/>
    <n v="89.99"/>
    <n v="1"/>
    <n v="89.99"/>
    <n v="8.9990000000000006"/>
    <n v="90.99"/>
    <x v="1"/>
    <x v="1"/>
    <x v="0"/>
    <x v="0"/>
  </r>
  <r>
    <n v="1010"/>
    <x v="9"/>
    <x v="9"/>
    <x v="9"/>
    <n v="199.99"/>
    <n v="5"/>
    <n v="999.95"/>
    <n v="99.995000000000005"/>
    <n v="1004.95"/>
    <x v="7"/>
    <x v="2"/>
    <x v="0"/>
    <x v="0"/>
  </r>
  <r>
    <n v="1011"/>
    <x v="10"/>
    <x v="10"/>
    <x v="10"/>
    <n v="29.99"/>
    <n v="2"/>
    <n v="59.98"/>
    <n v="5.9980000000000002"/>
    <n v="61.98"/>
    <x v="8"/>
    <x v="3"/>
    <x v="0"/>
    <x v="0"/>
  </r>
  <r>
    <n v="1012"/>
    <x v="11"/>
    <x v="11"/>
    <x v="11"/>
    <n v="29.99"/>
    <n v="3"/>
    <n v="89.97"/>
    <n v="8.9969999999999999"/>
    <n v="92.97"/>
    <x v="9"/>
    <x v="4"/>
    <x v="0"/>
    <x v="0"/>
  </r>
  <r>
    <n v="1013"/>
    <x v="12"/>
    <x v="12"/>
    <x v="12"/>
    <n v="79.989999999999995"/>
    <n v="1"/>
    <n v="79.989999999999995"/>
    <n v="7.9989999999999997"/>
    <n v="80.989999999999995"/>
    <x v="4"/>
    <x v="5"/>
    <x v="0"/>
    <x v="0"/>
  </r>
  <r>
    <n v="1014"/>
    <x v="13"/>
    <x v="13"/>
    <x v="13"/>
    <n v="49.99"/>
    <n v="4"/>
    <n v="199.96"/>
    <n v="19.995999999999999"/>
    <n v="203.96"/>
    <x v="10"/>
    <x v="6"/>
    <x v="0"/>
    <x v="0"/>
  </r>
  <r>
    <n v="1015"/>
    <x v="14"/>
    <x v="14"/>
    <x v="14"/>
    <n v="129.99"/>
    <n v="1"/>
    <n v="129.99"/>
    <n v="12.999000000000001"/>
    <n v="130.99"/>
    <x v="11"/>
    <x v="0"/>
    <x v="0"/>
    <x v="0"/>
  </r>
  <r>
    <n v="1016"/>
    <x v="15"/>
    <x v="15"/>
    <x v="15"/>
    <n v="69.989999999999995"/>
    <n v="2"/>
    <n v="139.97999999999999"/>
    <n v="13.997999999999999"/>
    <n v="141.97999999999999"/>
    <x v="12"/>
    <x v="1"/>
    <x v="0"/>
    <x v="0"/>
  </r>
  <r>
    <n v="1017"/>
    <x v="16"/>
    <x v="16"/>
    <x v="16"/>
    <n v="39.99"/>
    <n v="3"/>
    <n v="119.97"/>
    <n v="11.997"/>
    <n v="122.97"/>
    <x v="13"/>
    <x v="2"/>
    <x v="0"/>
    <x v="0"/>
  </r>
  <r>
    <n v="1018"/>
    <x v="17"/>
    <x v="17"/>
    <x v="17"/>
    <n v="199.99"/>
    <n v="1"/>
    <n v="199.99"/>
    <n v="19.998999999999999"/>
    <n v="200.99"/>
    <x v="14"/>
    <x v="3"/>
    <x v="0"/>
    <x v="0"/>
  </r>
  <r>
    <n v="1019"/>
    <x v="18"/>
    <x v="18"/>
    <x v="18"/>
    <n v="29.99"/>
    <n v="5"/>
    <n v="149.94999999999999"/>
    <n v="14.994999999999999"/>
    <n v="154.94999999999999"/>
    <x v="15"/>
    <x v="4"/>
    <x v="0"/>
    <x v="0"/>
  </r>
  <r>
    <n v="1020"/>
    <x v="19"/>
    <x v="19"/>
    <x v="19"/>
    <n v="79.989999999999995"/>
    <n v="2"/>
    <n v="159.97999999999999"/>
    <n v="15.997999999999999"/>
    <n v="161.97999999999999"/>
    <x v="16"/>
    <x v="5"/>
    <x v="0"/>
    <x v="0"/>
  </r>
  <r>
    <n v="1021"/>
    <x v="20"/>
    <x v="20"/>
    <x v="20"/>
    <n v="49.99"/>
    <n v="3"/>
    <n v="149.97"/>
    <n v="14.997"/>
    <n v="152.97"/>
    <x v="17"/>
    <x v="6"/>
    <x v="0"/>
    <x v="0"/>
  </r>
  <r>
    <n v="1022"/>
    <x v="21"/>
    <x v="21"/>
    <x v="21"/>
    <n v="69.989999999999995"/>
    <n v="1"/>
    <n v="69.989999999999995"/>
    <n v="6.9989999999999997"/>
    <n v="70.989999999999995"/>
    <x v="0"/>
    <x v="0"/>
    <x v="0"/>
    <x v="0"/>
  </r>
  <r>
    <n v="1023"/>
    <x v="22"/>
    <x v="22"/>
    <x v="22"/>
    <n v="39.99"/>
    <n v="4"/>
    <n v="159.96"/>
    <n v="15.996"/>
    <n v="163.96"/>
    <x v="0"/>
    <x v="1"/>
    <x v="0"/>
    <x v="0"/>
  </r>
  <r>
    <n v="1024"/>
    <x v="23"/>
    <x v="23"/>
    <x v="23"/>
    <n v="199.99"/>
    <n v="1"/>
    <n v="199.99"/>
    <n v="19.998999999999999"/>
    <n v="200.99"/>
    <x v="18"/>
    <x v="2"/>
    <x v="0"/>
    <x v="0"/>
  </r>
  <r>
    <n v="1025"/>
    <x v="24"/>
    <x v="4"/>
    <x v="24"/>
    <n v="29.99"/>
    <n v="5"/>
    <n v="149.94999999999999"/>
    <n v="14.994999999999999"/>
    <n v="154.94999999999999"/>
    <x v="19"/>
    <x v="3"/>
    <x v="0"/>
    <x v="0"/>
  </r>
  <r>
    <n v="1026"/>
    <x v="25"/>
    <x v="24"/>
    <x v="25"/>
    <n v="79.989999999999995"/>
    <n v="2"/>
    <n v="159.97999999999999"/>
    <n v="15.997999999999999"/>
    <n v="161.97999999999999"/>
    <x v="20"/>
    <x v="4"/>
    <x v="0"/>
    <x v="0"/>
  </r>
  <r>
    <n v="1027"/>
    <x v="26"/>
    <x v="25"/>
    <x v="26"/>
    <n v="49.99"/>
    <n v="3"/>
    <n v="149.97"/>
    <n v="14.997"/>
    <n v="152.97"/>
    <x v="21"/>
    <x v="5"/>
    <x v="0"/>
    <x v="0"/>
  </r>
  <r>
    <n v="1028"/>
    <x v="27"/>
    <x v="26"/>
    <x v="27"/>
    <n v="129.99"/>
    <n v="1"/>
    <n v="129.99"/>
    <n v="12.999000000000001"/>
    <n v="130.99"/>
    <x v="22"/>
    <x v="6"/>
    <x v="0"/>
    <x v="0"/>
  </r>
  <r>
    <n v="1029"/>
    <x v="28"/>
    <x v="27"/>
    <x v="28"/>
    <n v="19.989999999999998"/>
    <n v="4"/>
    <n v="79.959999999999994"/>
    <n v="7.9960000000000004"/>
    <n v="83.96"/>
    <x v="2"/>
    <x v="0"/>
    <x v="0"/>
    <x v="0"/>
  </r>
  <r>
    <n v="1030"/>
    <x v="29"/>
    <x v="28"/>
    <x v="29"/>
    <n v="149.99"/>
    <n v="1"/>
    <n v="149.99"/>
    <n v="14.999000000000001"/>
    <n v="150.99"/>
    <x v="16"/>
    <x v="1"/>
    <x v="1"/>
    <x v="0"/>
  </r>
  <r>
    <n v="1031"/>
    <x v="30"/>
    <x v="29"/>
    <x v="30"/>
    <n v="69.989999999999995"/>
    <n v="2"/>
    <n v="139.97999999999999"/>
    <n v="13.997999999999999"/>
    <n v="141.97999999999999"/>
    <x v="13"/>
    <x v="2"/>
    <x v="1"/>
    <x v="0"/>
  </r>
  <r>
    <n v="1032"/>
    <x v="31"/>
    <x v="30"/>
    <x v="31"/>
    <n v="39.99"/>
    <n v="3"/>
    <n v="119.97"/>
    <n v="11.997"/>
    <n v="122.97"/>
    <x v="23"/>
    <x v="3"/>
    <x v="1"/>
    <x v="0"/>
  </r>
  <r>
    <n v="1033"/>
    <x v="32"/>
    <x v="31"/>
    <x v="32"/>
    <n v="199.99"/>
    <n v="1"/>
    <n v="199.99"/>
    <n v="19.998999999999999"/>
    <n v="200.99"/>
    <x v="17"/>
    <x v="4"/>
    <x v="1"/>
    <x v="0"/>
  </r>
  <r>
    <n v="1034"/>
    <x v="33"/>
    <x v="32"/>
    <x v="33"/>
    <n v="29.99"/>
    <n v="5"/>
    <n v="149.94999999999999"/>
    <n v="14.994999999999999"/>
    <n v="154.94999999999999"/>
    <x v="24"/>
    <x v="5"/>
    <x v="1"/>
    <x v="0"/>
  </r>
  <r>
    <n v="1035"/>
    <x v="34"/>
    <x v="33"/>
    <x v="34"/>
    <n v="79.989999999999995"/>
    <n v="2"/>
    <n v="159.97999999999999"/>
    <n v="15.997999999999999"/>
    <n v="161.97999999999999"/>
    <x v="25"/>
    <x v="6"/>
    <x v="1"/>
    <x v="0"/>
  </r>
  <r>
    <n v="1036"/>
    <x v="35"/>
    <x v="34"/>
    <x v="35"/>
    <n v="49.99"/>
    <n v="3"/>
    <n v="149.97"/>
    <n v="14.997"/>
    <n v="152.97"/>
    <x v="26"/>
    <x v="0"/>
    <x v="1"/>
    <x v="0"/>
  </r>
  <r>
    <n v="1037"/>
    <x v="36"/>
    <x v="35"/>
    <x v="36"/>
    <n v="129.99"/>
    <n v="1"/>
    <n v="129.99"/>
    <n v="12.999000000000001"/>
    <n v="130.99"/>
    <x v="0"/>
    <x v="1"/>
    <x v="1"/>
    <x v="0"/>
  </r>
  <r>
    <n v="1038"/>
    <x v="37"/>
    <x v="36"/>
    <x v="37"/>
    <n v="19.989999999999998"/>
    <n v="4"/>
    <n v="79.959999999999994"/>
    <n v="7.9960000000000004"/>
    <n v="83.96"/>
    <x v="1"/>
    <x v="2"/>
    <x v="1"/>
    <x v="0"/>
  </r>
  <r>
    <n v="1039"/>
    <x v="38"/>
    <x v="37"/>
    <x v="38"/>
    <n v="149.99"/>
    <n v="1"/>
    <n v="149.99"/>
    <n v="14.999000000000001"/>
    <n v="150.99"/>
    <x v="2"/>
    <x v="3"/>
    <x v="1"/>
    <x v="0"/>
  </r>
  <r>
    <n v="1040"/>
    <x v="39"/>
    <x v="3"/>
    <x v="39"/>
    <n v="69.989999999999995"/>
    <n v="2"/>
    <n v="139.97999999999999"/>
    <n v="13.997999999999999"/>
    <n v="141.97999999999999"/>
    <x v="3"/>
    <x v="4"/>
    <x v="1"/>
    <x v="0"/>
  </r>
  <r>
    <n v="1041"/>
    <x v="40"/>
    <x v="38"/>
    <x v="40"/>
    <n v="39.99"/>
    <n v="3"/>
    <n v="119.97"/>
    <n v="11.997"/>
    <n v="122.97"/>
    <x v="4"/>
    <x v="5"/>
    <x v="1"/>
    <x v="0"/>
  </r>
  <r>
    <n v="1042"/>
    <x v="41"/>
    <x v="19"/>
    <x v="41"/>
    <n v="199.99"/>
    <n v="1"/>
    <n v="199.99"/>
    <n v="19.998999999999999"/>
    <n v="200.99"/>
    <x v="5"/>
    <x v="6"/>
    <x v="1"/>
    <x v="0"/>
  </r>
  <r>
    <n v="1043"/>
    <x v="42"/>
    <x v="39"/>
    <x v="42"/>
    <n v="29.99"/>
    <n v="5"/>
    <n v="149.94999999999999"/>
    <n v="14.994999999999999"/>
    <n v="154.94999999999999"/>
    <x v="6"/>
    <x v="0"/>
    <x v="1"/>
    <x v="0"/>
  </r>
  <r>
    <n v="1044"/>
    <x v="43"/>
    <x v="40"/>
    <x v="43"/>
    <n v="79.989999999999995"/>
    <n v="2"/>
    <n v="159.97999999999999"/>
    <n v="15.997999999999999"/>
    <n v="161.97999999999999"/>
    <x v="0"/>
    <x v="1"/>
    <x v="1"/>
    <x v="0"/>
  </r>
  <r>
    <n v="1045"/>
    <x v="44"/>
    <x v="35"/>
    <x v="44"/>
    <n v="49.99"/>
    <n v="3"/>
    <n v="149.97"/>
    <n v="14.997"/>
    <n v="152.97"/>
    <x v="1"/>
    <x v="2"/>
    <x v="1"/>
    <x v="0"/>
  </r>
  <r>
    <n v="1046"/>
    <x v="45"/>
    <x v="41"/>
    <x v="45"/>
    <n v="199.99"/>
    <n v="1"/>
    <n v="199.99"/>
    <n v="19.998999999999999"/>
    <n v="200.99"/>
    <x v="7"/>
    <x v="3"/>
    <x v="1"/>
    <x v="0"/>
  </r>
  <r>
    <n v="1047"/>
    <x v="46"/>
    <x v="42"/>
    <x v="46"/>
    <n v="29.99"/>
    <n v="4"/>
    <n v="119.96"/>
    <n v="11.996"/>
    <n v="123.96"/>
    <x v="8"/>
    <x v="4"/>
    <x v="1"/>
    <x v="0"/>
  </r>
  <r>
    <n v="1048"/>
    <x v="47"/>
    <x v="38"/>
    <x v="47"/>
    <n v="79.989999999999995"/>
    <n v="1"/>
    <n v="79.989999999999995"/>
    <n v="7.9989999999999997"/>
    <n v="80.989999999999995"/>
    <x v="9"/>
    <x v="5"/>
    <x v="1"/>
    <x v="0"/>
  </r>
  <r>
    <n v="1049"/>
    <x v="48"/>
    <x v="19"/>
    <x v="48"/>
    <n v="49.99"/>
    <n v="2"/>
    <n v="99.98"/>
    <n v="9.9979999999999993"/>
    <n v="101.98"/>
    <x v="4"/>
    <x v="6"/>
    <x v="1"/>
    <x v="0"/>
  </r>
  <r>
    <n v="1050"/>
    <x v="49"/>
    <x v="43"/>
    <x v="49"/>
    <n v="129.99"/>
    <n v="3"/>
    <n v="389.97"/>
    <n v="38.997"/>
    <n v="392.97"/>
    <x v="10"/>
    <x v="0"/>
    <x v="1"/>
    <x v="0"/>
  </r>
  <r>
    <n v="1051"/>
    <x v="50"/>
    <x v="40"/>
    <x v="50"/>
    <n v="19.989999999999998"/>
    <n v="1"/>
    <n v="19.989999999999998"/>
    <n v="1.9990000000000001"/>
    <n v="20.99"/>
    <x v="11"/>
    <x v="1"/>
    <x v="1"/>
    <x v="0"/>
  </r>
  <r>
    <n v="1052"/>
    <x v="51"/>
    <x v="44"/>
    <x v="51"/>
    <n v="149.99"/>
    <n v="4"/>
    <n v="599.96"/>
    <n v="59.996000000000002"/>
    <n v="603.96"/>
    <x v="12"/>
    <x v="2"/>
    <x v="1"/>
    <x v="0"/>
  </r>
  <r>
    <n v="1053"/>
    <x v="52"/>
    <x v="41"/>
    <x v="52"/>
    <n v="69.989999999999995"/>
    <n v="1"/>
    <n v="69.989999999999995"/>
    <n v="6.9989999999999997"/>
    <n v="70.989999999999995"/>
    <x v="13"/>
    <x v="3"/>
    <x v="1"/>
    <x v="0"/>
  </r>
  <r>
    <n v="1054"/>
    <x v="53"/>
    <x v="45"/>
    <x v="53"/>
    <n v="39.99"/>
    <n v="3"/>
    <n v="119.97"/>
    <n v="11.997"/>
    <n v="122.97"/>
    <x v="14"/>
    <x v="4"/>
    <x v="1"/>
    <x v="0"/>
  </r>
  <r>
    <n v="1055"/>
    <x v="54"/>
    <x v="46"/>
    <x v="54"/>
    <n v="199.99"/>
    <n v="1"/>
    <n v="199.99"/>
    <n v="19.998999999999999"/>
    <n v="200.99"/>
    <x v="15"/>
    <x v="5"/>
    <x v="1"/>
    <x v="0"/>
  </r>
  <r>
    <n v="1056"/>
    <x v="55"/>
    <x v="35"/>
    <x v="55"/>
    <n v="29.99"/>
    <n v="5"/>
    <n v="149.94999999999999"/>
    <n v="14.994999999999999"/>
    <n v="154.94999999999999"/>
    <x v="16"/>
    <x v="6"/>
    <x v="1"/>
    <x v="0"/>
  </r>
  <r>
    <n v="1057"/>
    <x v="56"/>
    <x v="36"/>
    <x v="56"/>
    <n v="79.989999999999995"/>
    <n v="2"/>
    <n v="159.97999999999999"/>
    <n v="15.997999999999999"/>
    <n v="161.97999999999999"/>
    <x v="17"/>
    <x v="0"/>
    <x v="1"/>
    <x v="0"/>
  </r>
  <r>
    <n v="1058"/>
    <x v="57"/>
    <x v="37"/>
    <x v="57"/>
    <n v="49.99"/>
    <n v="3"/>
    <n v="149.97"/>
    <n v="14.997"/>
    <n v="152.97"/>
    <x v="0"/>
    <x v="1"/>
    <x v="1"/>
    <x v="0"/>
  </r>
  <r>
    <n v="1059"/>
    <x v="58"/>
    <x v="47"/>
    <x v="58"/>
    <n v="129.99"/>
    <n v="1"/>
    <n v="129.99"/>
    <n v="12.999000000000001"/>
    <n v="130.99"/>
    <x v="0"/>
    <x v="2"/>
    <x v="2"/>
    <x v="0"/>
  </r>
  <r>
    <n v="1060"/>
    <x v="59"/>
    <x v="48"/>
    <x v="59"/>
    <n v="69.989999999999995"/>
    <n v="4"/>
    <n v="279.95999999999998"/>
    <n v="27.995999999999999"/>
    <n v="283.95999999999998"/>
    <x v="18"/>
    <x v="3"/>
    <x v="2"/>
    <x v="0"/>
  </r>
  <r>
    <n v="1061"/>
    <x v="60"/>
    <x v="19"/>
    <x v="60"/>
    <n v="39.99"/>
    <n v="1"/>
    <n v="39.99"/>
    <n v="3.9990000000000001"/>
    <n v="40.99"/>
    <x v="19"/>
    <x v="4"/>
    <x v="2"/>
    <x v="0"/>
  </r>
  <r>
    <n v="1062"/>
    <x v="61"/>
    <x v="39"/>
    <x v="61"/>
    <n v="199.99"/>
    <n v="2"/>
    <n v="399.98"/>
    <n v="39.997999999999998"/>
    <n v="401.98"/>
    <x v="20"/>
    <x v="5"/>
    <x v="2"/>
    <x v="0"/>
  </r>
  <r>
    <n v="1063"/>
    <x v="62"/>
    <x v="34"/>
    <x v="62"/>
    <n v="29.99"/>
    <n v="3"/>
    <n v="89.97"/>
    <n v="8.9969999999999999"/>
    <n v="92.97"/>
    <x v="21"/>
    <x v="6"/>
    <x v="2"/>
    <x v="0"/>
  </r>
  <r>
    <n v="1064"/>
    <x v="63"/>
    <x v="35"/>
    <x v="63"/>
    <n v="79.989999999999995"/>
    <n v="5"/>
    <n v="399.95"/>
    <n v="39.994999999999997"/>
    <n v="404.95"/>
    <x v="22"/>
    <x v="0"/>
    <x v="2"/>
    <x v="0"/>
  </r>
  <r>
    <n v="1065"/>
    <x v="64"/>
    <x v="41"/>
    <x v="64"/>
    <n v="129.99"/>
    <n v="1"/>
    <n v="129.99"/>
    <n v="12.999000000000001"/>
    <n v="130.99"/>
    <x v="2"/>
    <x v="1"/>
    <x v="2"/>
    <x v="0"/>
  </r>
  <r>
    <n v="1066"/>
    <x v="65"/>
    <x v="49"/>
    <x v="65"/>
    <n v="19.989999999999998"/>
    <n v="4"/>
    <n v="79.959999999999994"/>
    <n v="7.9960000000000004"/>
    <n v="83.96"/>
    <x v="16"/>
    <x v="2"/>
    <x v="2"/>
    <x v="0"/>
  </r>
  <r>
    <n v="1067"/>
    <x v="66"/>
    <x v="41"/>
    <x v="66"/>
    <n v="149.99"/>
    <n v="2"/>
    <n v="299.98"/>
    <n v="29.998000000000001"/>
    <n v="301.98"/>
    <x v="13"/>
    <x v="3"/>
    <x v="2"/>
    <x v="0"/>
  </r>
  <r>
    <n v="1068"/>
    <x v="67"/>
    <x v="47"/>
    <x v="67"/>
    <n v="39.99"/>
    <n v="3"/>
    <n v="119.97"/>
    <n v="11.997"/>
    <n v="122.97"/>
    <x v="23"/>
    <x v="4"/>
    <x v="2"/>
    <x v="0"/>
  </r>
  <r>
    <n v="1069"/>
    <x v="68"/>
    <x v="50"/>
    <x v="68"/>
    <n v="199.99"/>
    <n v="1"/>
    <n v="199.99"/>
    <n v="19.998999999999999"/>
    <n v="200.99"/>
    <x v="17"/>
    <x v="5"/>
    <x v="2"/>
    <x v="0"/>
  </r>
  <r>
    <n v="1070"/>
    <x v="69"/>
    <x v="51"/>
    <x v="69"/>
    <n v="19.989999999999998"/>
    <n v="1"/>
    <n v="19.989999999999998"/>
    <n v="1.9990000000000001"/>
    <n v="20.99"/>
    <x v="24"/>
    <x v="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9BF71C-033D-422B-AB13-905D15A73F0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10" firstHeaderRow="1" firstDataRow="1" firstDataCol="1"/>
  <pivotFields count="17">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items count="53">
        <item x="9"/>
        <item x="15"/>
        <item x="21"/>
        <item x="22"/>
        <item x="8"/>
        <item x="48"/>
        <item x="38"/>
        <item x="6"/>
        <item x="18"/>
        <item x="27"/>
        <item x="51"/>
        <item x="35"/>
        <item x="44"/>
        <item x="31"/>
        <item x="4"/>
        <item x="47"/>
        <item x="42"/>
        <item x="26"/>
        <item x="3"/>
        <item x="16"/>
        <item x="1"/>
        <item x="50"/>
        <item x="19"/>
        <item x="49"/>
        <item x="28"/>
        <item x="34"/>
        <item x="13"/>
        <item x="30"/>
        <item x="23"/>
        <item x="46"/>
        <item x="40"/>
        <item x="0"/>
        <item x="17"/>
        <item x="5"/>
        <item x="33"/>
        <item x="37"/>
        <item x="25"/>
        <item x="45"/>
        <item x="14"/>
        <item x="11"/>
        <item x="43"/>
        <item x="20"/>
        <item x="2"/>
        <item x="39"/>
        <item x="29"/>
        <item x="12"/>
        <item x="32"/>
        <item x="7"/>
        <item x="41"/>
        <item x="36"/>
        <item x="24"/>
        <item x="10"/>
        <item t="default"/>
      </items>
    </pivotField>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dataField="1" showAll="0"/>
    <pivotField showAll="0"/>
    <pivotField showAll="0"/>
    <pivotField showAll="0"/>
    <pivotField axis="axisRow" showAll="0" measureFilter="1">
      <items count="28">
        <item x="12"/>
        <item x="21"/>
        <item x="2"/>
        <item x="8"/>
        <item x="15"/>
        <item x="24"/>
        <item x="26"/>
        <item x="1"/>
        <item x="5"/>
        <item x="7"/>
        <item x="13"/>
        <item x="18"/>
        <item x="6"/>
        <item x="4"/>
        <item x="17"/>
        <item x="22"/>
        <item x="14"/>
        <item x="11"/>
        <item x="0"/>
        <item x="20"/>
        <item x="10"/>
        <item x="16"/>
        <item x="9"/>
        <item x="19"/>
        <item x="3"/>
        <item x="25"/>
        <item x="23"/>
        <item t="default"/>
      </items>
    </pivotField>
    <pivotField showAll="0">
      <items count="8">
        <item x="4"/>
        <item x="5"/>
        <item x="6"/>
        <item x="0"/>
        <item x="1"/>
        <item x="2"/>
        <item x="3"/>
        <item t="default"/>
      </items>
    </pivotField>
    <pivotField showAll="0">
      <items count="4">
        <item x="0"/>
        <item x="1"/>
        <item x="2"/>
        <item t="default"/>
      </items>
    </pivotField>
    <pivotField showAll="0">
      <items count="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v="2"/>
    </i>
    <i>
      <x v="7"/>
    </i>
    <i>
      <x v="10"/>
    </i>
    <i>
      <x v="12"/>
    </i>
    <i>
      <x v="18"/>
    </i>
    <i>
      <x v="21"/>
    </i>
    <i t="grand">
      <x/>
    </i>
  </rowItems>
  <colItems count="1">
    <i/>
  </colItems>
  <dataFields count="1">
    <dataField name="Sum of Order Quantity" fld="5" baseField="0" baseItem="0"/>
  </dataFields>
  <chartFormats count="5">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E5136B-4DCE-4F52-A503-7AB49BDC38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0:C34" firstHeaderRow="0" firstDataRow="1" firstDataCol="1"/>
  <pivotFields count="17">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dataField="1" showAll="0"/>
    <pivotField dataField="1" showAll="0"/>
    <pivotField showAll="0"/>
    <pivotField showAll="0" measureFilter="1">
      <items count="28">
        <item x="12"/>
        <item x="21"/>
        <item x="2"/>
        <item x="8"/>
        <item x="15"/>
        <item x="24"/>
        <item x="26"/>
        <item x="1"/>
        <item x="5"/>
        <item x="7"/>
        <item x="13"/>
        <item x="18"/>
        <item x="6"/>
        <item x="4"/>
        <item x="17"/>
        <item x="22"/>
        <item x="14"/>
        <item x="11"/>
        <item x="0"/>
        <item x="20"/>
        <item x="10"/>
        <item x="16"/>
        <item x="9"/>
        <item x="19"/>
        <item x="3"/>
        <item x="25"/>
        <item x="23"/>
        <item t="default"/>
      </items>
    </pivotField>
    <pivotField showAll="0" measureFilter="1">
      <items count="8">
        <item x="4"/>
        <item x="5"/>
        <item x="6"/>
        <item x="0"/>
        <item x="1"/>
        <item x="2"/>
        <item x="3"/>
        <item t="default"/>
      </items>
    </pivotField>
    <pivotField axis="axisRow" showAll="0">
      <items count="4">
        <item x="0"/>
        <item x="1"/>
        <item x="2"/>
        <item t="default"/>
      </items>
    </pivotField>
    <pivotField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Fields count="1">
    <field x="-2"/>
  </colFields>
  <colItems count="2">
    <i>
      <x/>
    </i>
    <i i="1">
      <x v="1"/>
    </i>
  </colItems>
  <dataFields count="2">
    <dataField name="Sum of Revenue" fld="6" baseField="0" baseItem="0"/>
    <dataField name="Sum of Tax" fld="7" showDataAs="percentOfTotal" baseField="0" baseItem="0" numFmtId="10"/>
  </dataField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1"/>
          </reference>
          <reference field="11"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filters count="2">
    <filter fld="10" type="count" evalOrder="-1" id="1" iMeasureFld="0">
      <autoFilter ref="A1">
        <filterColumn colId="0">
          <top10 val="5" filterVal="5"/>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B35C66-9939-4FF8-90E9-3FEE15352BE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7:B28" firstHeaderRow="1" firstDataRow="1" firstDataCol="1"/>
  <pivotFields count="17">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dataField="1" showAll="0"/>
    <pivotField showAll="0"/>
    <pivotField showAll="0"/>
    <pivotField axis="axisRow" showAll="0" measureFilter="1">
      <items count="28">
        <item x="12"/>
        <item x="21"/>
        <item x="2"/>
        <item x="8"/>
        <item x="15"/>
        <item x="24"/>
        <item x="26"/>
        <item x="1"/>
        <item x="5"/>
        <item x="7"/>
        <item x="13"/>
        <item x="18"/>
        <item x="6"/>
        <item x="4"/>
        <item x="17"/>
        <item x="22"/>
        <item x="14"/>
        <item x="11"/>
        <item x="0"/>
        <item x="20"/>
        <item x="10"/>
        <item x="16"/>
        <item x="9"/>
        <item x="19"/>
        <item x="3"/>
        <item x="25"/>
        <item x="23"/>
        <item t="default"/>
      </items>
    </pivotField>
    <pivotField showAll="0" measureFilter="1">
      <items count="8">
        <item x="4"/>
        <item x="5"/>
        <item x="6"/>
        <item x="0"/>
        <item x="1"/>
        <item x="2"/>
        <item x="3"/>
        <item t="default"/>
      </items>
    </pivotField>
    <pivotField showAll="0">
      <items count="4">
        <item x="0"/>
        <item x="1"/>
        <item x="2"/>
        <item t="default"/>
      </items>
    </pivotField>
    <pivotField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11">
    <i>
      <x/>
    </i>
    <i>
      <x v="2"/>
    </i>
    <i>
      <x v="9"/>
    </i>
    <i>
      <x v="10"/>
    </i>
    <i>
      <x v="14"/>
    </i>
    <i>
      <x v="15"/>
    </i>
    <i>
      <x v="18"/>
    </i>
    <i>
      <x v="19"/>
    </i>
    <i>
      <x v="20"/>
    </i>
    <i>
      <x v="21"/>
    </i>
    <i t="grand">
      <x/>
    </i>
  </rowItems>
  <colItems count="1">
    <i/>
  </colItems>
  <dataFields count="1">
    <dataField name="Sum of Revenue" fld="6"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9" count="1" selected="0">
            <x v="20"/>
          </reference>
        </references>
      </pivotArea>
    </chartFormat>
    <chartFormat chart="10" format="6">
      <pivotArea type="data" outline="0" fieldPosition="0">
        <references count="2">
          <reference field="4294967294" count="1" selected="0">
            <x v="0"/>
          </reference>
          <reference field="9" count="1" selected="0">
            <x v="0"/>
          </reference>
        </references>
      </pivotArea>
    </chartFormat>
    <chartFormat chart="10" format="7">
      <pivotArea type="data" outline="0" fieldPosition="0">
        <references count="2">
          <reference field="4294967294" count="1" selected="0">
            <x v="0"/>
          </reference>
          <reference field="9" count="1" selected="0">
            <x v="14"/>
          </reference>
        </references>
      </pivotArea>
    </chartFormat>
  </chartFormats>
  <pivotTableStyleInfo name="PivotStyleLight16" showRowHeaders="1" showColHeaders="1" showRowStripes="0" showColStripes="0" showLastColumn="1"/>
  <filters count="2">
    <filter fld="10" type="count" evalOrder="-1" id="1" iMeasureFld="0">
      <autoFilter ref="A1">
        <filterColumn colId="0">
          <top10 val="5" filterVal="5"/>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E296D2-B7BB-473E-B29A-B69016C20A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B15" firstHeaderRow="1" firstDataRow="1" firstDataCol="1"/>
  <pivotFields count="17">
    <pivotField showAll="0"/>
    <pivotField axis="axisRow"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dataField="1" showAll="0"/>
    <pivotField showAll="0"/>
    <pivotField showAll="0"/>
    <pivotField showAll="0"/>
    <pivotField showAll="0" measureFilter="1">
      <items count="8">
        <item x="4"/>
        <item x="5"/>
        <item x="6"/>
        <item x="0"/>
        <item x="1"/>
        <item x="2"/>
        <item x="3"/>
        <item t="default"/>
      </items>
    </pivotField>
    <pivotField showAll="0">
      <items count="4">
        <item x="0"/>
        <item x="1"/>
        <item x="2"/>
        <item t="default"/>
      </items>
    </pivotField>
    <pivotField showAll="0">
      <items count="2">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14"/>
    <field x="13"/>
    <field x="1"/>
  </rowFields>
  <rowItems count="4">
    <i>
      <x v="1"/>
    </i>
    <i>
      <x v="2"/>
    </i>
    <i>
      <x v="3"/>
    </i>
    <i t="grand">
      <x/>
    </i>
  </rowItems>
  <colItems count="1">
    <i/>
  </colItems>
  <dataFields count="1">
    <dataField name="Sum of Revenue" fld="6"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9EE2E3-818C-49C5-8CD1-0DCADE3DFC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7">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dataField="1" showAll="0"/>
    <pivotField showAll="0"/>
    <pivotField showAll="0"/>
    <pivotField showAll="0"/>
    <pivotField axis="axisRow" showAll="0" measureFilter="1">
      <items count="8">
        <item x="4"/>
        <item x="5"/>
        <item x="6"/>
        <item x="0"/>
        <item x="1"/>
        <item x="2"/>
        <item x="3"/>
        <item t="default"/>
      </items>
    </pivotField>
    <pivotField showAll="0">
      <items count="4">
        <item x="0"/>
        <item x="1"/>
        <item x="2"/>
        <item t="default"/>
      </items>
    </pivotField>
    <pivotField showAll="0">
      <items count="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v="1"/>
    </i>
    <i>
      <x v="2"/>
    </i>
    <i>
      <x v="3"/>
    </i>
    <i>
      <x v="5"/>
    </i>
    <i>
      <x v="6"/>
    </i>
    <i t="grand">
      <x/>
    </i>
  </rowItems>
  <colItems count="1">
    <i/>
  </colItems>
  <dataFields count="1">
    <dataField name="Sum of Revenue" fld="6"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0" count="1" selected="0">
            <x v="1"/>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 chart="4" format="10">
      <pivotArea type="data" outline="0" fieldPosition="0">
        <references count="2">
          <reference field="4294967294" count="1" selected="0">
            <x v="0"/>
          </reference>
          <reference field="10" count="1" selected="0">
            <x v="3"/>
          </reference>
        </references>
      </pivotArea>
    </chartFormat>
    <chartFormat chart="4" format="11">
      <pivotArea type="data" outline="0" fieldPosition="0">
        <references count="2">
          <reference field="4294967294" count="1" selected="0">
            <x v="0"/>
          </reference>
          <reference field="10" count="1" selected="0">
            <x v="5"/>
          </reference>
        </references>
      </pivotArea>
    </chartFormat>
    <chartFormat chart="4" format="12">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AC6141-08BB-4EBB-9D97-9554A01A63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5:F19" firstHeaderRow="0" firstDataRow="1" firstDataCol="1"/>
  <pivotFields count="17">
    <pivotField showAll="0"/>
    <pivotField axis="axisRow"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dataField="1" showAll="0"/>
    <pivotField dataField="1" showAll="0"/>
    <pivotField showAll="0"/>
    <pivotField showAll="0"/>
    <pivotField showAll="0"/>
    <pivotField showAll="0">
      <items count="4">
        <item x="0"/>
        <item x="1"/>
        <item x="2"/>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14"/>
    <field x="13"/>
    <field x="1"/>
  </rowFields>
  <rowItems count="4">
    <i>
      <x v="1"/>
    </i>
    <i>
      <x v="2"/>
    </i>
    <i>
      <x v="3"/>
    </i>
    <i t="grand">
      <x/>
    </i>
  </rowItems>
  <colFields count="1">
    <field x="-2"/>
  </colFields>
  <colItems count="2">
    <i>
      <x/>
    </i>
    <i i="1">
      <x v="1"/>
    </i>
  </colItems>
  <dataFields count="2">
    <dataField name="Sum of Revenue" fld="6" baseField="0" baseItem="0"/>
    <dataField name="Sum of Tax" fld="7"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2C4C64-E625-47FA-B021-C6A129243A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B37" firstHeaderRow="1" firstDataRow="1" firstDataCol="1"/>
  <pivotFields count="17">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dataField="1" showAll="0"/>
    <pivotField showAll="0"/>
    <pivotField showAll="0"/>
    <pivotField axis="axisRow" showAll="0">
      <items count="28">
        <item x="12"/>
        <item x="21"/>
        <item x="2"/>
        <item x="8"/>
        <item x="15"/>
        <item x="24"/>
        <item x="26"/>
        <item x="1"/>
        <item x="5"/>
        <item x="7"/>
        <item x="13"/>
        <item x="18"/>
        <item x="6"/>
        <item x="4"/>
        <item x="17"/>
        <item x="22"/>
        <item x="14"/>
        <item x="11"/>
        <item x="0"/>
        <item x="20"/>
        <item x="10"/>
        <item x="16"/>
        <item x="9"/>
        <item x="19"/>
        <item x="3"/>
        <item x="25"/>
        <item x="23"/>
        <item t="default"/>
      </items>
    </pivotField>
    <pivotField showAll="0"/>
    <pivotField showAll="0">
      <items count="4">
        <item x="0"/>
        <item x="1"/>
        <item x="2"/>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0E365C-BD76-4B36-BDB1-2E513A355B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7">
    <pivotField showAll="0"/>
    <pivotField axis="axisRow"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14"/>
    <field x="13"/>
    <field x="1"/>
  </rowFields>
  <rowItems count="4">
    <i>
      <x v="1"/>
    </i>
    <i>
      <x v="2"/>
    </i>
    <i>
      <x v="3"/>
    </i>
    <i t="grand">
      <x/>
    </i>
  </rowItems>
  <colItems count="1">
    <i/>
  </colItems>
  <dataFields count="1">
    <dataField name="Sum of Total" fld="8" baseField="0"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6CFE04-118B-4CCD-BEF6-F5F06EB25AC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6:B99" firstHeaderRow="1" firstDataRow="1" firstDataCol="1"/>
  <pivotFields count="17">
    <pivotField dataField="1"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Row" showAll="0">
      <items count="53">
        <item x="9"/>
        <item x="15"/>
        <item x="21"/>
        <item x="22"/>
        <item x="8"/>
        <item x="48"/>
        <item x="38"/>
        <item x="6"/>
        <item x="18"/>
        <item x="27"/>
        <item x="51"/>
        <item x="35"/>
        <item x="44"/>
        <item x="31"/>
        <item x="4"/>
        <item x="47"/>
        <item x="42"/>
        <item x="26"/>
        <item x="3"/>
        <item x="16"/>
        <item x="1"/>
        <item x="50"/>
        <item x="19"/>
        <item x="49"/>
        <item x="28"/>
        <item x="34"/>
        <item x="13"/>
        <item x="30"/>
        <item x="23"/>
        <item x="46"/>
        <item x="40"/>
        <item x="0"/>
        <item x="17"/>
        <item x="5"/>
        <item x="33"/>
        <item x="37"/>
        <item x="25"/>
        <item x="45"/>
        <item x="14"/>
        <item x="11"/>
        <item x="43"/>
        <item x="20"/>
        <item x="2"/>
        <item x="39"/>
        <item x="29"/>
        <item x="12"/>
        <item x="32"/>
        <item x="7"/>
        <item x="41"/>
        <item x="36"/>
        <item x="24"/>
        <item x="10"/>
        <item t="default"/>
      </items>
    </pivotField>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showAll="0"/>
    <pivotField showAll="0"/>
    <pivotField showAll="0"/>
    <pivotField showAll="0">
      <items count="28">
        <item x="12"/>
        <item x="21"/>
        <item x="2"/>
        <item x="8"/>
        <item x="15"/>
        <item x="24"/>
        <item x="26"/>
        <item x="1"/>
        <item x="5"/>
        <item x="7"/>
        <item x="13"/>
        <item x="18"/>
        <item x="6"/>
        <item x="4"/>
        <item x="17"/>
        <item x="22"/>
        <item x="14"/>
        <item x="11"/>
        <item x="0"/>
        <item x="20"/>
        <item x="10"/>
        <item x="16"/>
        <item x="9"/>
        <item x="19"/>
        <item x="3"/>
        <item x="25"/>
        <item x="23"/>
        <item t="default"/>
      </items>
    </pivotField>
    <pivotField showAll="0"/>
    <pivotField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Sum of Order no" fld="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EFC10C-8C6E-4BD6-A645-222C2EFAB47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B44" firstHeaderRow="1" firstDataRow="1" firstDataCol="1"/>
  <pivotFields count="17">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Row" showAll="0" measureFilter="1">
      <items count="53">
        <item x="9"/>
        <item x="15"/>
        <item x="21"/>
        <item x="22"/>
        <item x="8"/>
        <item x="48"/>
        <item x="38"/>
        <item x="6"/>
        <item x="18"/>
        <item x="27"/>
        <item x="51"/>
        <item x="35"/>
        <item x="44"/>
        <item x="31"/>
        <item x="4"/>
        <item x="47"/>
        <item x="42"/>
        <item x="26"/>
        <item x="3"/>
        <item x="16"/>
        <item x="1"/>
        <item x="50"/>
        <item x="19"/>
        <item x="49"/>
        <item x="28"/>
        <item x="34"/>
        <item x="13"/>
        <item x="30"/>
        <item x="23"/>
        <item x="46"/>
        <item x="40"/>
        <item x="0"/>
        <item x="17"/>
        <item x="5"/>
        <item x="33"/>
        <item x="37"/>
        <item x="25"/>
        <item x="45"/>
        <item x="14"/>
        <item x="11"/>
        <item x="43"/>
        <item x="20"/>
        <item x="2"/>
        <item x="39"/>
        <item x="29"/>
        <item x="12"/>
        <item x="32"/>
        <item x="7"/>
        <item x="41"/>
        <item x="36"/>
        <item x="24"/>
        <item x="10"/>
        <item t="default"/>
      </items>
    </pivotField>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dataField="1" showAll="0"/>
    <pivotField showAll="0"/>
    <pivotField showAll="0"/>
    <pivotField showAll="0">
      <items count="28">
        <item x="12"/>
        <item x="21"/>
        <item x="2"/>
        <item x="8"/>
        <item x="15"/>
        <item x="24"/>
        <item x="26"/>
        <item x="1"/>
        <item x="5"/>
        <item x="7"/>
        <item x="13"/>
        <item x="18"/>
        <item x="6"/>
        <item x="4"/>
        <item x="17"/>
        <item x="22"/>
        <item x="14"/>
        <item x="11"/>
        <item x="0"/>
        <item x="20"/>
        <item x="10"/>
        <item x="16"/>
        <item x="9"/>
        <item x="19"/>
        <item x="3"/>
        <item x="25"/>
        <item x="23"/>
        <item t="default"/>
      </items>
    </pivotField>
    <pivotField showAll="0"/>
    <pivotField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1"/>
    </i>
    <i>
      <x v="12"/>
    </i>
    <i>
      <x v="14"/>
    </i>
    <i>
      <x v="22"/>
    </i>
    <i>
      <x v="35"/>
    </i>
    <i>
      <x v="40"/>
    </i>
    <i>
      <x v="42"/>
    </i>
    <i>
      <x v="43"/>
    </i>
    <i>
      <x v="48"/>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406CE0-463C-4673-B971-751B38D23E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7:E88" firstHeaderRow="1" firstDataRow="1" firstDataCol="1"/>
  <pivotFields count="17">
    <pivotField dataField="1" showAll="0"/>
    <pivotField axis="axisRow"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showAll="0"/>
    <pivotField showAll="0"/>
    <pivotField showAll="0"/>
    <pivotField showAll="0">
      <items count="28">
        <item sd="0" x="12"/>
        <item sd="0" x="21"/>
        <item sd="0" x="2"/>
        <item sd="0" x="8"/>
        <item sd="0" x="15"/>
        <item sd="0" x="24"/>
        <item sd="0" x="26"/>
        <item sd="0" x="1"/>
        <item sd="0" x="5"/>
        <item sd="0" x="7"/>
        <item sd="0" x="13"/>
        <item sd="0" x="18"/>
        <item sd="0" x="6"/>
        <item sd="0" x="4"/>
        <item sd="0" x="17"/>
        <item sd="0" x="22"/>
        <item sd="0" x="14"/>
        <item sd="0" x="11"/>
        <item sd="0" x="0"/>
        <item sd="0" x="20"/>
        <item sd="0" x="10"/>
        <item sd="0" x="16"/>
        <item sd="0" x="9"/>
        <item sd="0" x="19"/>
        <item sd="0" x="3"/>
        <item sd="0" x="25"/>
        <item sd="0" x="23"/>
        <item t="default"/>
      </items>
    </pivotField>
    <pivotField showAll="0"/>
    <pivotField showAll="0">
      <items count="4">
        <item x="0"/>
        <item x="1"/>
        <item x="2"/>
        <item t="default"/>
      </items>
    </pivotField>
    <pivotField showAll="0">
      <items count="2">
        <item x="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Sum of Order no" fld="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93F04D-7D60-4879-BF3E-E4485028C1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31" firstHeaderRow="1" firstDataRow="1" firstDataCol="1"/>
  <pivotFields count="17">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dataField="1" showAll="0"/>
    <pivotField showAll="0"/>
    <pivotField showAll="0"/>
    <pivotField showAll="0"/>
    <pivotField axis="axisRow" showAll="0">
      <items count="28">
        <item x="12"/>
        <item x="21"/>
        <item x="2"/>
        <item x="8"/>
        <item x="15"/>
        <item x="24"/>
        <item x="26"/>
        <item x="1"/>
        <item x="5"/>
        <item x="7"/>
        <item x="13"/>
        <item x="18"/>
        <item x="6"/>
        <item x="4"/>
        <item x="17"/>
        <item x="22"/>
        <item x="14"/>
        <item x="11"/>
        <item x="0"/>
        <item x="20"/>
        <item x="10"/>
        <item x="16"/>
        <item x="9"/>
        <item x="19"/>
        <item x="3"/>
        <item x="25"/>
        <item x="23"/>
        <item t="default"/>
      </items>
    </pivotField>
    <pivotField showAll="0"/>
    <pivotField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Order Quantity"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8CCE4B-AC4A-4F7B-824A-46747F282B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4" firstHeaderRow="0" firstDataRow="1" firstDataCol="0"/>
  <pivotFields count="17">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dataField="1" showAll="0"/>
    <pivotField showAll="0"/>
    <pivotField dataField="1" showAll="0"/>
    <pivotField showAll="0"/>
    <pivotField showAll="0"/>
    <pivotField showAll="0"/>
    <pivotField showAll="0"/>
    <pivotField showAll="0">
      <items count="4">
        <item x="0"/>
        <item x="1"/>
        <item x="2"/>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2">
    <i>
      <x/>
    </i>
    <i i="1">
      <x v="1"/>
    </i>
  </colItems>
  <dataFields count="2">
    <dataField name="Sum of Retail Price" fld="4" baseField="0" baseItem="0"/>
    <dataField name="Sum of Revenue" fld="6"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4DE6F3-0813-4271-BA55-ED39AFD302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2:C16" firstHeaderRow="1" firstDataRow="1" firstDataCol="1"/>
  <pivotFields count="17">
    <pivotField dataField="1"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axis="axisRow" numFmtId="14" showAll="0">
      <items count="7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6"/>
    <field x="3"/>
  </rowFields>
  <rowItems count="4">
    <i>
      <x v="1"/>
    </i>
    <i>
      <x v="2"/>
    </i>
    <i>
      <x v="3"/>
    </i>
    <i t="grand">
      <x/>
    </i>
  </rowItems>
  <colItems count="1">
    <i/>
  </colItems>
  <dataFields count="1">
    <dataField name="Count of Order no" fld="0" subtotal="count"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3"/>
          </reference>
        </references>
      </pivotArea>
    </chartFormat>
    <chartFormat chart="3" format="4">
      <pivotArea type="data" outline="0" fieldPosition="0">
        <references count="2">
          <reference field="4294967294" count="1" selected="0">
            <x v="0"/>
          </reference>
          <reference field="16" count="1" selected="0">
            <x v="2"/>
          </reference>
        </references>
      </pivotArea>
    </chartFormat>
    <chartFormat chart="3" format="5">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2C076BA-CCC6-40F6-8D8B-BA726B4BF3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C7" firstHeaderRow="0" firstDataRow="1" firstDataCol="0"/>
  <pivotFields count="17">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dataField="1" showAll="0"/>
    <pivotField dataField="1" showAll="0"/>
    <pivotField dataField="1" showAll="0"/>
    <pivotField showAll="0"/>
    <pivotField showAll="0"/>
    <pivotField showAll="0">
      <items count="4">
        <item x="0"/>
        <item x="1"/>
        <item x="2"/>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3">
    <i>
      <x/>
    </i>
    <i i="1">
      <x v="1"/>
    </i>
    <i i="2">
      <x v="2"/>
    </i>
  </colItems>
  <dataFields count="3">
    <dataField name="Sum of Tax" fld="7" baseField="0" baseItem="0"/>
    <dataField name="Sum of Total" fld="8" baseField="0" baseItem="0"/>
    <dataField name="Sum of Revenue" fld="6"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3046D5D-1530-45F3-9369-8CF6AAB9E4C7}" sourceName="year">
  <pivotTables>
    <pivotTable tabId="3" name="PivotTable5"/>
    <pivotTable tabId="3" name="PivotTable1"/>
    <pivotTable tabId="3" name="PivotTable2"/>
    <pivotTable tabId="3" name="PivotTable3"/>
    <pivotTable tabId="3" name="PivotTable4"/>
  </pivotTables>
  <data>
    <tabular pivotCacheId="1122712681">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38F0873-7722-4238-8D9A-81DEE388DA1B}" sourceName="month">
  <pivotTables>
    <pivotTable tabId="3" name="PivotTable5"/>
    <pivotTable tabId="3" name="PivotTable1"/>
    <pivotTable tabId="3" name="PivotTable2"/>
    <pivotTable tabId="3" name="PivotTable3"/>
    <pivotTable tabId="3" name="PivotTable4"/>
    <pivotTable tabId="4" name="PivotTable1"/>
    <pivotTable tabId="4" name="PivotTable2"/>
    <pivotTable tabId="4" name="PivotTable3"/>
    <pivotTable tabId="5" name="PivotTable4"/>
    <pivotTable tabId="5" name="PivotTable5"/>
    <pivotTable tabId="5" name="PivotTable6"/>
    <pivotTable tabId="5" name="PivotTable7"/>
    <pivotTable tabId="8" name="PivotTable1"/>
    <pivotTable tabId="8" name="PivotTable2"/>
    <pivotTable tabId="8" name="PivotTable3"/>
  </pivotTables>
  <data>
    <tabular pivotCacheId="112271268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3B40C41-8468-467F-AB96-88054FF0D579}" cache="Slicer_year" caption="year" rowHeight="234950"/>
  <slicer name="month 2" xr10:uid="{A2B94018-58A6-45A5-B045-79B82B271974}"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BEFD41CA-5FBF-4565-B2B4-9F2CCB895835}" cache="Slicer_year" caption="year" rowHeight="234950"/>
  <slicer name="month 3" xr10:uid="{E958C60F-3989-4BEC-A0F9-0028B5303C67}" cache="Slicer_month"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B958E05-B7C5-4243-B538-0B50FE1387A0}" cache="Slicer_year" caption="year" rowHeight="234950"/>
  <slicer name="month 1" xr10:uid="{3890DDDA-86AC-43B0-A6A6-706EAD3EAF02}" cache="Slicer_month" caption="month"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3AD7CF9-B8D9-43DB-849A-D0D09A4BDF9D}" cache="Slicer_year" caption="year" rowHeight="234950"/>
  <slicer name="month" xr10:uid="{0EBB9074-1550-480F-B853-1C1C2F94C0DA}"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90C87D-91DC-4CFD-9B1D-EB144BA80419}" name="Table1" displayName="Table1" ref="A1:M71" totalsRowShown="0">
  <tableColumns count="13">
    <tableColumn id="1" xr3:uid="{9938CEBD-8D12-4B82-953E-6D1AB774C8CD}" name="Order no"/>
    <tableColumn id="2" xr3:uid="{151D2625-1FE9-42AB-A19B-63DFD7217EFC}" name="Order Date" dataDxfId="4"/>
    <tableColumn id="3" xr3:uid="{94A6EDCE-0840-44D4-8BD6-4CA505B0F587}" name="Customer Name"/>
    <tableColumn id="4" xr3:uid="{8F6127C0-E624-463B-A4E1-C3F0D13A08DE}" name="Ship Date" dataDxfId="3"/>
    <tableColumn id="5" xr3:uid="{FF996799-C975-45AE-B4B2-6774BB46470E}" name="Retail Price"/>
    <tableColumn id="6" xr3:uid="{A8A6848D-227E-4297-8E73-737348248204}" name="Order Quantity"/>
    <tableColumn id="7" xr3:uid="{C5D2AB32-B110-4C45-8C92-8EA62B6AECC9}" name="Revenue">
      <calculatedColumnFormula>E2*F2</calculatedColumnFormula>
    </tableColumn>
    <tableColumn id="8" xr3:uid="{C0EC1B90-435A-4E6C-9D4D-2E97472922BB}" name="Tax"/>
    <tableColumn id="9" xr3:uid="{AE8424BB-B0D4-4B3A-8D7C-A49F4C09E11A}" name="Total">
      <calculatedColumnFormula>SUM(G2,F2)</calculatedColumnFormula>
    </tableColumn>
    <tableColumn id="10" xr3:uid="{55B60C72-478A-4B3E-A958-CE64616801CD}" name="Product Nmae"/>
    <tableColumn id="11" xr3:uid="{8E573688-6D1C-46A8-9FC2-B8AC1DCBC4F1}" name="Day" dataDxfId="2">
      <calculatedColumnFormula>TEXT(Table1[[#This Row],[Ship Date]],"dddd")</calculatedColumnFormula>
    </tableColumn>
    <tableColumn id="12" xr3:uid="{C3311D32-40F0-46BA-AFF5-B531AF90EDDF}" name="month" dataDxfId="1">
      <calculatedColumnFormula>TEXT(Table1[[#This Row],[Ship Date]],"mmmm")</calculatedColumnFormula>
    </tableColumn>
    <tableColumn id="13" xr3:uid="{8FBDAC30-FE40-4A63-8977-23FEB8D5F6AC}" name="year" dataDxfId="0">
      <calculatedColumnFormula>TEXT(Table1[[#This Row],[Ship Date]],"yyyy")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A4055-D884-4F84-B341-B2B7374F4CB3}">
  <dimension ref="A3:G47"/>
  <sheetViews>
    <sheetView topLeftCell="A3" workbookViewId="0">
      <selection activeCell="H15" sqref="H15"/>
    </sheetView>
  </sheetViews>
  <sheetFormatPr defaultRowHeight="14.4" x14ac:dyDescent="0.3"/>
  <cols>
    <col min="1" max="1" width="12.5546875" bestFit="1" customWidth="1"/>
    <col min="2" max="2" width="14.88671875" bestFit="1" customWidth="1"/>
    <col min="3" max="3" width="10.33203125" bestFit="1" customWidth="1"/>
    <col min="4" max="4" width="12.5546875" bestFit="1" customWidth="1"/>
    <col min="5" max="5" width="20.21875" bestFit="1" customWidth="1"/>
    <col min="6" max="7" width="15" bestFit="1" customWidth="1"/>
  </cols>
  <sheetData>
    <row r="3" spans="1:5" x14ac:dyDescent="0.3">
      <c r="A3" s="3" t="s">
        <v>92</v>
      </c>
      <c r="B3" t="s">
        <v>102</v>
      </c>
      <c r="D3" s="3" t="s">
        <v>92</v>
      </c>
      <c r="E3" t="s">
        <v>107</v>
      </c>
    </row>
    <row r="4" spans="1:5" x14ac:dyDescent="0.3">
      <c r="A4" s="4" t="s">
        <v>93</v>
      </c>
      <c r="B4">
        <v>1699.79</v>
      </c>
      <c r="D4" s="4" t="s">
        <v>64</v>
      </c>
      <c r="E4">
        <v>9</v>
      </c>
    </row>
    <row r="5" spans="1:5" x14ac:dyDescent="0.3">
      <c r="A5" s="4" t="s">
        <v>94</v>
      </c>
      <c r="B5">
        <v>1319.75</v>
      </c>
      <c r="D5" s="4" t="s">
        <v>63</v>
      </c>
      <c r="E5">
        <v>9</v>
      </c>
    </row>
    <row r="6" spans="1:5" x14ac:dyDescent="0.3">
      <c r="A6" s="4" t="s">
        <v>95</v>
      </c>
      <c r="B6">
        <v>1699.73</v>
      </c>
      <c r="D6" s="4" t="s">
        <v>75</v>
      </c>
      <c r="E6">
        <v>8</v>
      </c>
    </row>
    <row r="7" spans="1:5" x14ac:dyDescent="0.3">
      <c r="A7" s="4" t="s">
        <v>96</v>
      </c>
      <c r="B7">
        <v>2799.7</v>
      </c>
      <c r="D7" s="4" t="s">
        <v>68</v>
      </c>
      <c r="E7">
        <v>8</v>
      </c>
    </row>
    <row r="8" spans="1:5" x14ac:dyDescent="0.3">
      <c r="A8" s="4" t="s">
        <v>97</v>
      </c>
      <c r="B8">
        <v>1609.76</v>
      </c>
      <c r="D8" s="4" t="s">
        <v>62</v>
      </c>
      <c r="E8">
        <v>15</v>
      </c>
    </row>
    <row r="9" spans="1:5" x14ac:dyDescent="0.3">
      <c r="A9" s="4" t="s">
        <v>98</v>
      </c>
      <c r="B9">
        <v>9128.73</v>
      </c>
      <c r="D9" s="4" t="s">
        <v>78</v>
      </c>
      <c r="E9">
        <v>12</v>
      </c>
    </row>
    <row r="10" spans="1:5" x14ac:dyDescent="0.3">
      <c r="D10" s="4" t="s">
        <v>98</v>
      </c>
      <c r="E10">
        <v>61</v>
      </c>
    </row>
    <row r="11" spans="1:5" x14ac:dyDescent="0.3">
      <c r="A11" s="3" t="s">
        <v>92</v>
      </c>
      <c r="B11" t="s">
        <v>102</v>
      </c>
    </row>
    <row r="12" spans="1:5" x14ac:dyDescent="0.3">
      <c r="A12" s="4" t="s">
        <v>103</v>
      </c>
      <c r="B12">
        <v>4969.2599999999975</v>
      </c>
    </row>
    <row r="13" spans="1:5" x14ac:dyDescent="0.3">
      <c r="A13" s="4" t="s">
        <v>104</v>
      </c>
      <c r="B13">
        <v>4829.2799999999988</v>
      </c>
    </row>
    <row r="14" spans="1:5" x14ac:dyDescent="0.3">
      <c r="A14" s="4" t="s">
        <v>105</v>
      </c>
      <c r="B14">
        <v>1779.7700000000002</v>
      </c>
    </row>
    <row r="15" spans="1:5" x14ac:dyDescent="0.3">
      <c r="A15" s="4" t="s">
        <v>98</v>
      </c>
      <c r="B15">
        <v>11578.309999999998</v>
      </c>
    </row>
    <row r="17" spans="1:3" x14ac:dyDescent="0.3">
      <c r="A17" s="3" t="s">
        <v>92</v>
      </c>
      <c r="B17" t="s">
        <v>102</v>
      </c>
    </row>
    <row r="18" spans="1:3" x14ac:dyDescent="0.3">
      <c r="A18" s="4" t="s">
        <v>73</v>
      </c>
      <c r="B18">
        <v>739.94</v>
      </c>
    </row>
    <row r="19" spans="1:3" x14ac:dyDescent="0.3">
      <c r="A19" s="4" t="s">
        <v>64</v>
      </c>
      <c r="B19">
        <v>659.91</v>
      </c>
    </row>
    <row r="20" spans="1:3" x14ac:dyDescent="0.3">
      <c r="A20" s="4" t="s">
        <v>69</v>
      </c>
      <c r="B20">
        <v>1199.94</v>
      </c>
    </row>
    <row r="21" spans="1:3" x14ac:dyDescent="0.3">
      <c r="A21" s="4" t="s">
        <v>75</v>
      </c>
      <c r="B21">
        <v>629.92000000000007</v>
      </c>
    </row>
    <row r="22" spans="1:3" x14ac:dyDescent="0.3">
      <c r="A22" s="4" t="s">
        <v>79</v>
      </c>
      <c r="B22">
        <v>709.93000000000006</v>
      </c>
    </row>
    <row r="23" spans="1:3" x14ac:dyDescent="0.3">
      <c r="A23" s="4" t="s">
        <v>84</v>
      </c>
      <c r="B23">
        <v>529.94000000000005</v>
      </c>
    </row>
    <row r="24" spans="1:3" x14ac:dyDescent="0.3">
      <c r="A24" s="4" t="s">
        <v>62</v>
      </c>
      <c r="B24">
        <v>969.85</v>
      </c>
    </row>
    <row r="25" spans="1:3" x14ac:dyDescent="0.3">
      <c r="A25" s="4" t="s">
        <v>82</v>
      </c>
      <c r="B25">
        <v>559.96</v>
      </c>
    </row>
    <row r="26" spans="1:3" x14ac:dyDescent="0.3">
      <c r="A26" s="4" t="s">
        <v>72</v>
      </c>
      <c r="B26">
        <v>589.93000000000006</v>
      </c>
    </row>
    <row r="27" spans="1:3" x14ac:dyDescent="0.3">
      <c r="A27" s="4" t="s">
        <v>78</v>
      </c>
      <c r="B27">
        <v>539.88</v>
      </c>
    </row>
    <row r="28" spans="1:3" x14ac:dyDescent="0.3">
      <c r="A28" s="4" t="s">
        <v>98</v>
      </c>
      <c r="B28">
        <v>7129.2000000000007</v>
      </c>
    </row>
    <row r="30" spans="1:3" x14ac:dyDescent="0.3">
      <c r="A30" s="3" t="s">
        <v>92</v>
      </c>
      <c r="B30" t="s">
        <v>102</v>
      </c>
      <c r="C30" t="s">
        <v>106</v>
      </c>
    </row>
    <row r="31" spans="1:3" x14ac:dyDescent="0.3">
      <c r="A31" s="4" t="s">
        <v>99</v>
      </c>
      <c r="B31">
        <v>4679.2899999999981</v>
      </c>
      <c r="C31" s="5">
        <v>0.40414274622116703</v>
      </c>
    </row>
    <row r="32" spans="1:3" x14ac:dyDescent="0.3">
      <c r="A32" s="4" t="s">
        <v>100</v>
      </c>
      <c r="B32">
        <v>4709.2999999999993</v>
      </c>
      <c r="C32" s="5">
        <v>0.4067346616216011</v>
      </c>
    </row>
    <row r="33" spans="1:7" x14ac:dyDescent="0.3">
      <c r="A33" s="4" t="s">
        <v>101</v>
      </c>
      <c r="B33">
        <v>2189.7200000000003</v>
      </c>
      <c r="C33" s="5">
        <v>0.1891225921572319</v>
      </c>
    </row>
    <row r="34" spans="1:7" x14ac:dyDescent="0.3">
      <c r="A34" s="4" t="s">
        <v>98</v>
      </c>
      <c r="B34">
        <v>11578.309999999998</v>
      </c>
      <c r="C34" s="5">
        <v>1</v>
      </c>
    </row>
    <row r="47" spans="1:7" x14ac:dyDescent="0.3">
      <c r="G47">
        <f>COUNTA(F4:F55)</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DA7B4-B3EC-4CAE-914A-781184058C9D}">
  <dimension ref="A3:F37"/>
  <sheetViews>
    <sheetView workbookViewId="0">
      <selection activeCell="D6" sqref="D6"/>
    </sheetView>
  </sheetViews>
  <sheetFormatPr defaultRowHeight="14.4" x14ac:dyDescent="0.3"/>
  <cols>
    <col min="1" max="1" width="12.5546875" bestFit="1" customWidth="1"/>
    <col min="2" max="2" width="14.88671875" bestFit="1" customWidth="1"/>
    <col min="4" max="4" width="12.5546875" bestFit="1" customWidth="1"/>
    <col min="5" max="5" width="14.88671875" bestFit="1" customWidth="1"/>
    <col min="6" max="6" width="10.33203125" bestFit="1" customWidth="1"/>
  </cols>
  <sheetData>
    <row r="3" spans="1:6" x14ac:dyDescent="0.3">
      <c r="A3" s="3" t="s">
        <v>92</v>
      </c>
      <c r="B3" t="s">
        <v>108</v>
      </c>
    </row>
    <row r="4" spans="1:6" x14ac:dyDescent="0.3">
      <c r="A4" s="4" t="s">
        <v>103</v>
      </c>
      <c r="B4">
        <v>5043.2599999999975</v>
      </c>
    </row>
    <row r="5" spans="1:6" x14ac:dyDescent="0.3">
      <c r="A5" s="4" t="s">
        <v>104</v>
      </c>
      <c r="B5">
        <v>4901.2799999999988</v>
      </c>
    </row>
    <row r="6" spans="1:6" x14ac:dyDescent="0.3">
      <c r="A6" s="4" t="s">
        <v>105</v>
      </c>
      <c r="B6">
        <v>1802.7700000000002</v>
      </c>
    </row>
    <row r="7" spans="1:6" x14ac:dyDescent="0.3">
      <c r="A7" s="4" t="s">
        <v>98</v>
      </c>
      <c r="B7">
        <v>11747.309999999998</v>
      </c>
    </row>
    <row r="9" spans="1:6" x14ac:dyDescent="0.3">
      <c r="A9" s="3" t="s">
        <v>92</v>
      </c>
      <c r="B9" t="s">
        <v>102</v>
      </c>
    </row>
    <row r="10" spans="1:6" x14ac:dyDescent="0.3">
      <c r="A10" s="4" t="s">
        <v>73</v>
      </c>
      <c r="B10">
        <v>739.94</v>
      </c>
    </row>
    <row r="11" spans="1:6" x14ac:dyDescent="0.3">
      <c r="A11" s="4" t="s">
        <v>83</v>
      </c>
      <c r="B11">
        <v>239.94</v>
      </c>
    </row>
    <row r="12" spans="1:6" x14ac:dyDescent="0.3">
      <c r="A12" s="4" t="s">
        <v>64</v>
      </c>
      <c r="B12">
        <v>659.91</v>
      </c>
    </row>
    <row r="13" spans="1:6" x14ac:dyDescent="0.3">
      <c r="A13" s="4" t="s">
        <v>70</v>
      </c>
      <c r="B13">
        <v>179.94</v>
      </c>
    </row>
    <row r="14" spans="1:6" x14ac:dyDescent="0.3">
      <c r="A14" s="4" t="s">
        <v>77</v>
      </c>
      <c r="B14">
        <v>349.94</v>
      </c>
    </row>
    <row r="15" spans="1:6" x14ac:dyDescent="0.3">
      <c r="A15" s="4" t="s">
        <v>86</v>
      </c>
      <c r="B15">
        <v>169.94</v>
      </c>
      <c r="D15" s="3" t="s">
        <v>92</v>
      </c>
      <c r="E15" t="s">
        <v>102</v>
      </c>
      <c r="F15" t="s">
        <v>106</v>
      </c>
    </row>
    <row r="16" spans="1:6" x14ac:dyDescent="0.3">
      <c r="A16" s="4" t="s">
        <v>88</v>
      </c>
      <c r="B16">
        <v>149.97</v>
      </c>
      <c r="D16" s="4" t="s">
        <v>103</v>
      </c>
      <c r="E16">
        <v>4969.2599999999975</v>
      </c>
      <c r="F16">
        <v>496.9260000000001</v>
      </c>
    </row>
    <row r="17" spans="1:6" x14ac:dyDescent="0.3">
      <c r="A17" s="4" t="s">
        <v>63</v>
      </c>
      <c r="B17">
        <v>349.90999999999997</v>
      </c>
      <c r="D17" s="4" t="s">
        <v>104</v>
      </c>
      <c r="E17">
        <v>4829.2799999999988</v>
      </c>
      <c r="F17">
        <v>482.928</v>
      </c>
    </row>
    <row r="18" spans="1:6" x14ac:dyDescent="0.3">
      <c r="A18" s="4" t="s">
        <v>67</v>
      </c>
      <c r="B18">
        <v>359.97</v>
      </c>
      <c r="D18" s="4" t="s">
        <v>105</v>
      </c>
      <c r="E18">
        <v>1779.7700000000002</v>
      </c>
      <c r="F18">
        <v>177.97699999999998</v>
      </c>
    </row>
    <row r="19" spans="1:6" x14ac:dyDescent="0.3">
      <c r="A19" s="4" t="s">
        <v>69</v>
      </c>
      <c r="B19">
        <v>1199.94</v>
      </c>
      <c r="D19" s="4" t="s">
        <v>98</v>
      </c>
      <c r="E19">
        <v>11578.309999999998</v>
      </c>
      <c r="F19">
        <v>1157.8310000000001</v>
      </c>
    </row>
    <row r="20" spans="1:6" x14ac:dyDescent="0.3">
      <c r="A20" s="4" t="s">
        <v>75</v>
      </c>
      <c r="B20">
        <v>629.92000000000007</v>
      </c>
    </row>
    <row r="21" spans="1:6" x14ac:dyDescent="0.3">
      <c r="A21" s="4" t="s">
        <v>80</v>
      </c>
      <c r="B21">
        <v>479.95</v>
      </c>
    </row>
    <row r="22" spans="1:6" x14ac:dyDescent="0.3">
      <c r="A22" s="4" t="s">
        <v>68</v>
      </c>
      <c r="B22">
        <v>269.91999999999996</v>
      </c>
    </row>
    <row r="23" spans="1:6" x14ac:dyDescent="0.3">
      <c r="A23" s="4" t="s">
        <v>66</v>
      </c>
      <c r="B23">
        <v>449.93000000000006</v>
      </c>
    </row>
    <row r="24" spans="1:6" x14ac:dyDescent="0.3">
      <c r="A24" s="4" t="s">
        <v>79</v>
      </c>
      <c r="B24">
        <v>709.93000000000006</v>
      </c>
    </row>
    <row r="25" spans="1:6" x14ac:dyDescent="0.3">
      <c r="A25" s="4" t="s">
        <v>84</v>
      </c>
      <c r="B25">
        <v>529.94000000000005</v>
      </c>
    </row>
    <row r="26" spans="1:6" x14ac:dyDescent="0.3">
      <c r="A26" s="4" t="s">
        <v>76</v>
      </c>
      <c r="B26">
        <v>319.96000000000004</v>
      </c>
    </row>
    <row r="27" spans="1:6" x14ac:dyDescent="0.3">
      <c r="A27" s="4" t="s">
        <v>74</v>
      </c>
      <c r="B27">
        <v>149.98000000000002</v>
      </c>
    </row>
    <row r="28" spans="1:6" x14ac:dyDescent="0.3">
      <c r="A28" s="4" t="s">
        <v>62</v>
      </c>
      <c r="B28">
        <v>969.85</v>
      </c>
    </row>
    <row r="29" spans="1:6" x14ac:dyDescent="0.3">
      <c r="A29" s="4" t="s">
        <v>82</v>
      </c>
      <c r="B29">
        <v>559.96</v>
      </c>
    </row>
    <row r="30" spans="1:6" x14ac:dyDescent="0.3">
      <c r="A30" s="4" t="s">
        <v>72</v>
      </c>
      <c r="B30">
        <v>589.93000000000006</v>
      </c>
    </row>
    <row r="31" spans="1:6" x14ac:dyDescent="0.3">
      <c r="A31" s="4" t="s">
        <v>78</v>
      </c>
      <c r="B31">
        <v>539.88</v>
      </c>
    </row>
    <row r="32" spans="1:6" x14ac:dyDescent="0.3">
      <c r="A32" s="4" t="s">
        <v>71</v>
      </c>
      <c r="B32">
        <v>169.95999999999998</v>
      </c>
    </row>
    <row r="33" spans="1:2" x14ac:dyDescent="0.3">
      <c r="A33" s="4" t="s">
        <v>81</v>
      </c>
      <c r="B33">
        <v>189.94</v>
      </c>
    </row>
    <row r="34" spans="1:2" x14ac:dyDescent="0.3">
      <c r="A34" s="4" t="s">
        <v>65</v>
      </c>
      <c r="B34">
        <v>219.94</v>
      </c>
    </row>
    <row r="35" spans="1:2" x14ac:dyDescent="0.3">
      <c r="A35" s="4" t="s">
        <v>87</v>
      </c>
      <c r="B35">
        <v>159.97999999999999</v>
      </c>
    </row>
    <row r="36" spans="1:2" x14ac:dyDescent="0.3">
      <c r="A36" s="4" t="s">
        <v>85</v>
      </c>
      <c r="B36">
        <v>239.94</v>
      </c>
    </row>
    <row r="37" spans="1:2" x14ac:dyDescent="0.3">
      <c r="A37" s="4" t="s">
        <v>98</v>
      </c>
      <c r="B37">
        <v>11578.310000000001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41145-9010-4906-A5EA-A0244AE5D6EE}">
  <dimension ref="A3:E99"/>
  <sheetViews>
    <sheetView workbookViewId="0">
      <selection activeCell="E4" sqref="E4"/>
    </sheetView>
  </sheetViews>
  <sheetFormatPr defaultRowHeight="14.4" x14ac:dyDescent="0.3"/>
  <cols>
    <col min="1" max="1" width="19.109375" bestFit="1" customWidth="1"/>
    <col min="2" max="2" width="15" bestFit="1" customWidth="1"/>
    <col min="3" max="3" width="14.88671875" bestFit="1" customWidth="1"/>
    <col min="4" max="4" width="12.5546875" bestFit="1" customWidth="1"/>
    <col min="5" max="5" width="15" bestFit="1" customWidth="1"/>
  </cols>
  <sheetData>
    <row r="3" spans="1:2" x14ac:dyDescent="0.3">
      <c r="A3" s="3" t="s">
        <v>92</v>
      </c>
      <c r="B3" t="s">
        <v>107</v>
      </c>
    </row>
    <row r="4" spans="1:2" x14ac:dyDescent="0.3">
      <c r="A4" s="4" t="s">
        <v>73</v>
      </c>
      <c r="B4">
        <v>6</v>
      </c>
    </row>
    <row r="5" spans="1:2" x14ac:dyDescent="0.3">
      <c r="A5" s="4" t="s">
        <v>83</v>
      </c>
      <c r="B5">
        <v>6</v>
      </c>
    </row>
    <row r="6" spans="1:2" x14ac:dyDescent="0.3">
      <c r="A6" s="4" t="s">
        <v>64</v>
      </c>
      <c r="B6">
        <v>9</v>
      </c>
    </row>
    <row r="7" spans="1:2" x14ac:dyDescent="0.3">
      <c r="A7" s="4" t="s">
        <v>70</v>
      </c>
      <c r="B7">
        <v>6</v>
      </c>
    </row>
    <row r="8" spans="1:2" x14ac:dyDescent="0.3">
      <c r="A8" s="4" t="s">
        <v>77</v>
      </c>
      <c r="B8">
        <v>6</v>
      </c>
    </row>
    <row r="9" spans="1:2" x14ac:dyDescent="0.3">
      <c r="A9" s="4" t="s">
        <v>86</v>
      </c>
      <c r="B9">
        <v>6</v>
      </c>
    </row>
    <row r="10" spans="1:2" x14ac:dyDescent="0.3">
      <c r="A10" s="4" t="s">
        <v>88</v>
      </c>
      <c r="B10">
        <v>3</v>
      </c>
    </row>
    <row r="11" spans="1:2" x14ac:dyDescent="0.3">
      <c r="A11" s="4" t="s">
        <v>63</v>
      </c>
      <c r="B11">
        <v>9</v>
      </c>
    </row>
    <row r="12" spans="1:2" x14ac:dyDescent="0.3">
      <c r="A12" s="4" t="s">
        <v>67</v>
      </c>
      <c r="B12">
        <v>3</v>
      </c>
    </row>
    <row r="13" spans="1:2" x14ac:dyDescent="0.3">
      <c r="A13" s="4" t="s">
        <v>69</v>
      </c>
      <c r="B13">
        <v>6</v>
      </c>
    </row>
    <row r="14" spans="1:2" x14ac:dyDescent="0.3">
      <c r="A14" s="4" t="s">
        <v>75</v>
      </c>
      <c r="B14">
        <v>8</v>
      </c>
    </row>
    <row r="15" spans="1:2" x14ac:dyDescent="0.3">
      <c r="A15" s="4" t="s">
        <v>80</v>
      </c>
      <c r="B15">
        <v>5</v>
      </c>
    </row>
    <row r="16" spans="1:2" x14ac:dyDescent="0.3">
      <c r="A16" s="4" t="s">
        <v>68</v>
      </c>
      <c r="B16">
        <v>8</v>
      </c>
    </row>
    <row r="17" spans="1:5" x14ac:dyDescent="0.3">
      <c r="A17" s="4" t="s">
        <v>66</v>
      </c>
      <c r="B17">
        <v>7</v>
      </c>
      <c r="D17" s="3" t="s">
        <v>92</v>
      </c>
      <c r="E17" t="s">
        <v>109</v>
      </c>
    </row>
    <row r="18" spans="1:5" x14ac:dyDescent="0.3">
      <c r="A18" s="4" t="s">
        <v>79</v>
      </c>
      <c r="B18">
        <v>7</v>
      </c>
      <c r="D18" s="6">
        <v>45292</v>
      </c>
      <c r="E18">
        <v>1001</v>
      </c>
    </row>
    <row r="19" spans="1:5" x14ac:dyDescent="0.3">
      <c r="A19" s="4" t="s">
        <v>84</v>
      </c>
      <c r="B19">
        <v>6</v>
      </c>
      <c r="D19" s="6">
        <v>45293</v>
      </c>
      <c r="E19">
        <v>1002</v>
      </c>
    </row>
    <row r="20" spans="1:5" x14ac:dyDescent="0.3">
      <c r="A20" s="4" t="s">
        <v>76</v>
      </c>
      <c r="B20">
        <v>4</v>
      </c>
      <c r="D20" s="6">
        <v>45294</v>
      </c>
      <c r="E20">
        <v>1003</v>
      </c>
    </row>
    <row r="21" spans="1:5" x14ac:dyDescent="0.3">
      <c r="A21" s="4" t="s">
        <v>74</v>
      </c>
      <c r="B21">
        <v>2</v>
      </c>
      <c r="D21" s="6">
        <v>45295</v>
      </c>
      <c r="E21">
        <v>1004</v>
      </c>
    </row>
    <row r="22" spans="1:5" x14ac:dyDescent="0.3">
      <c r="A22" s="4" t="s">
        <v>62</v>
      </c>
      <c r="B22">
        <v>15</v>
      </c>
      <c r="D22" s="6">
        <v>45296</v>
      </c>
      <c r="E22">
        <v>1005</v>
      </c>
    </row>
    <row r="23" spans="1:5" x14ac:dyDescent="0.3">
      <c r="A23" s="4" t="s">
        <v>82</v>
      </c>
      <c r="B23">
        <v>4</v>
      </c>
      <c r="D23" s="6">
        <v>45297</v>
      </c>
      <c r="E23">
        <v>1006</v>
      </c>
    </row>
    <row r="24" spans="1:5" x14ac:dyDescent="0.3">
      <c r="A24" s="4" t="s">
        <v>72</v>
      </c>
      <c r="B24">
        <v>7</v>
      </c>
      <c r="D24" s="6">
        <v>45298</v>
      </c>
      <c r="E24">
        <v>1007</v>
      </c>
    </row>
    <row r="25" spans="1:5" x14ac:dyDescent="0.3">
      <c r="A25" s="4" t="s">
        <v>78</v>
      </c>
      <c r="B25">
        <v>12</v>
      </c>
      <c r="D25" s="6">
        <v>45299</v>
      </c>
      <c r="E25">
        <v>1008</v>
      </c>
    </row>
    <row r="26" spans="1:5" x14ac:dyDescent="0.3">
      <c r="A26" s="4" t="s">
        <v>71</v>
      </c>
      <c r="B26">
        <v>4</v>
      </c>
      <c r="D26" s="6">
        <v>45300</v>
      </c>
      <c r="E26">
        <v>1009</v>
      </c>
    </row>
    <row r="27" spans="1:5" x14ac:dyDescent="0.3">
      <c r="A27" s="4" t="s">
        <v>81</v>
      </c>
      <c r="B27">
        <v>6</v>
      </c>
      <c r="D27" s="6">
        <v>45301</v>
      </c>
      <c r="E27">
        <v>1010</v>
      </c>
    </row>
    <row r="28" spans="1:5" x14ac:dyDescent="0.3">
      <c r="A28" s="4" t="s">
        <v>65</v>
      </c>
      <c r="B28">
        <v>6</v>
      </c>
      <c r="D28" s="6">
        <v>45302</v>
      </c>
      <c r="E28">
        <v>1011</v>
      </c>
    </row>
    <row r="29" spans="1:5" x14ac:dyDescent="0.3">
      <c r="A29" s="4" t="s">
        <v>87</v>
      </c>
      <c r="B29">
        <v>2</v>
      </c>
      <c r="D29" s="6">
        <v>45303</v>
      </c>
      <c r="E29">
        <v>1012</v>
      </c>
    </row>
    <row r="30" spans="1:5" x14ac:dyDescent="0.3">
      <c r="A30" s="4" t="s">
        <v>85</v>
      </c>
      <c r="B30">
        <v>6</v>
      </c>
      <c r="D30" s="6">
        <v>45304</v>
      </c>
      <c r="E30">
        <v>1013</v>
      </c>
    </row>
    <row r="31" spans="1:5" x14ac:dyDescent="0.3">
      <c r="A31" s="4" t="s">
        <v>98</v>
      </c>
      <c r="B31">
        <v>169</v>
      </c>
      <c r="D31" s="6">
        <v>45305</v>
      </c>
      <c r="E31">
        <v>1014</v>
      </c>
    </row>
    <row r="32" spans="1:5" x14ac:dyDescent="0.3">
      <c r="D32" s="6">
        <v>45306</v>
      </c>
      <c r="E32">
        <v>1015</v>
      </c>
    </row>
    <row r="33" spans="1:5" x14ac:dyDescent="0.3">
      <c r="A33" s="3" t="s">
        <v>92</v>
      </c>
      <c r="B33" t="s">
        <v>102</v>
      </c>
      <c r="D33" s="6">
        <v>45307</v>
      </c>
      <c r="E33">
        <v>1016</v>
      </c>
    </row>
    <row r="34" spans="1:5" x14ac:dyDescent="0.3">
      <c r="A34" s="4" t="s">
        <v>18</v>
      </c>
      <c r="B34">
        <v>999.95</v>
      </c>
      <c r="D34" s="6">
        <v>45308</v>
      </c>
      <c r="E34">
        <v>1017</v>
      </c>
    </row>
    <row r="35" spans="1:5" x14ac:dyDescent="0.3">
      <c r="A35" s="4" t="s">
        <v>44</v>
      </c>
      <c r="B35">
        <v>829.86</v>
      </c>
      <c r="D35" s="6">
        <v>45309</v>
      </c>
      <c r="E35">
        <v>1018</v>
      </c>
    </row>
    <row r="36" spans="1:5" x14ac:dyDescent="0.3">
      <c r="A36" s="4" t="s">
        <v>53</v>
      </c>
      <c r="B36">
        <v>599.96</v>
      </c>
      <c r="D36" s="6">
        <v>45310</v>
      </c>
      <c r="E36">
        <v>1019</v>
      </c>
    </row>
    <row r="37" spans="1:5" x14ac:dyDescent="0.3">
      <c r="A37" s="4" t="s">
        <v>13</v>
      </c>
      <c r="B37">
        <v>299.94</v>
      </c>
      <c r="D37" s="6">
        <v>45311</v>
      </c>
      <c r="E37">
        <v>1020</v>
      </c>
    </row>
    <row r="38" spans="1:5" x14ac:dyDescent="0.3">
      <c r="A38" s="4" t="s">
        <v>28</v>
      </c>
      <c r="B38">
        <v>499.94000000000005</v>
      </c>
      <c r="D38" s="6">
        <v>45312</v>
      </c>
      <c r="E38">
        <v>1021</v>
      </c>
    </row>
    <row r="39" spans="1:5" x14ac:dyDescent="0.3">
      <c r="A39" s="4" t="s">
        <v>46</v>
      </c>
      <c r="B39">
        <v>299.96000000000004</v>
      </c>
      <c r="D39" s="6">
        <v>45313</v>
      </c>
      <c r="E39">
        <v>1022</v>
      </c>
    </row>
    <row r="40" spans="1:5" x14ac:dyDescent="0.3">
      <c r="A40" s="4" t="s">
        <v>52</v>
      </c>
      <c r="B40">
        <v>389.97</v>
      </c>
      <c r="D40" s="6">
        <v>45314</v>
      </c>
      <c r="E40">
        <v>1023</v>
      </c>
    </row>
    <row r="41" spans="1:5" x14ac:dyDescent="0.3">
      <c r="A41" s="4" t="s">
        <v>11</v>
      </c>
      <c r="B41">
        <v>299.96999999999997</v>
      </c>
      <c r="D41" s="6">
        <v>45315</v>
      </c>
      <c r="E41">
        <v>1024</v>
      </c>
    </row>
    <row r="42" spans="1:5" x14ac:dyDescent="0.3">
      <c r="A42" s="4" t="s">
        <v>48</v>
      </c>
      <c r="B42">
        <v>549.93000000000006</v>
      </c>
      <c r="D42" s="6">
        <v>45316</v>
      </c>
      <c r="E42">
        <v>1025</v>
      </c>
    </row>
    <row r="43" spans="1:5" x14ac:dyDescent="0.3">
      <c r="A43" s="4" t="s">
        <v>50</v>
      </c>
      <c r="B43">
        <v>699.95</v>
      </c>
      <c r="D43" s="6">
        <v>45317</v>
      </c>
      <c r="E43">
        <v>1026</v>
      </c>
    </row>
    <row r="44" spans="1:5" x14ac:dyDescent="0.3">
      <c r="A44" s="4" t="s">
        <v>98</v>
      </c>
      <c r="B44">
        <v>5469.43</v>
      </c>
      <c r="D44" s="6">
        <v>45318</v>
      </c>
      <c r="E44">
        <v>1027</v>
      </c>
    </row>
    <row r="45" spans="1:5" x14ac:dyDescent="0.3">
      <c r="D45" s="6">
        <v>45319</v>
      </c>
      <c r="E45">
        <v>1028</v>
      </c>
    </row>
    <row r="46" spans="1:5" x14ac:dyDescent="0.3">
      <c r="A46" s="3" t="s">
        <v>92</v>
      </c>
      <c r="B46" t="s">
        <v>109</v>
      </c>
      <c r="D46" s="6">
        <v>45320</v>
      </c>
      <c r="E46">
        <v>1029</v>
      </c>
    </row>
    <row r="47" spans="1:5" x14ac:dyDescent="0.3">
      <c r="A47" s="4" t="s">
        <v>18</v>
      </c>
      <c r="B47">
        <v>1010</v>
      </c>
      <c r="D47" s="6">
        <v>45321</v>
      </c>
      <c r="E47">
        <v>1030</v>
      </c>
    </row>
    <row r="48" spans="1:5" x14ac:dyDescent="0.3">
      <c r="A48" s="4" t="s">
        <v>24</v>
      </c>
      <c r="B48">
        <v>1016</v>
      </c>
      <c r="D48" s="6">
        <v>45322</v>
      </c>
      <c r="E48">
        <v>1031</v>
      </c>
    </row>
    <row r="49" spans="1:5" x14ac:dyDescent="0.3">
      <c r="A49" s="4" t="s">
        <v>30</v>
      </c>
      <c r="B49">
        <v>1022</v>
      </c>
      <c r="D49" s="6">
        <v>45323</v>
      </c>
      <c r="E49">
        <v>1032</v>
      </c>
    </row>
    <row r="50" spans="1:5" x14ac:dyDescent="0.3">
      <c r="A50" s="4" t="s">
        <v>31</v>
      </c>
      <c r="B50">
        <v>1023</v>
      </c>
      <c r="D50" s="6">
        <v>45324</v>
      </c>
      <c r="E50">
        <v>1033</v>
      </c>
    </row>
    <row r="51" spans="1:5" x14ac:dyDescent="0.3">
      <c r="A51" s="4" t="s">
        <v>17</v>
      </c>
      <c r="B51">
        <v>1009</v>
      </c>
      <c r="D51" s="6">
        <v>45325</v>
      </c>
      <c r="E51">
        <v>1034</v>
      </c>
    </row>
    <row r="52" spans="1:5" x14ac:dyDescent="0.3">
      <c r="A52" s="4" t="s">
        <v>57</v>
      </c>
      <c r="B52">
        <v>1060</v>
      </c>
      <c r="D52" s="6">
        <v>45326</v>
      </c>
      <c r="E52">
        <v>1035</v>
      </c>
    </row>
    <row r="53" spans="1:5" x14ac:dyDescent="0.3">
      <c r="A53" s="4" t="s">
        <v>47</v>
      </c>
      <c r="B53">
        <v>2089</v>
      </c>
      <c r="D53" s="6">
        <v>45327</v>
      </c>
      <c r="E53">
        <v>1036</v>
      </c>
    </row>
    <row r="54" spans="1:5" x14ac:dyDescent="0.3">
      <c r="A54" s="4" t="s">
        <v>15</v>
      </c>
      <c r="B54">
        <v>1007</v>
      </c>
      <c r="D54" s="6">
        <v>45328</v>
      </c>
      <c r="E54">
        <v>1037</v>
      </c>
    </row>
    <row r="55" spans="1:5" x14ac:dyDescent="0.3">
      <c r="A55" s="4" t="s">
        <v>27</v>
      </c>
      <c r="B55">
        <v>1019</v>
      </c>
      <c r="D55" s="6">
        <v>45329</v>
      </c>
      <c r="E55">
        <v>1038</v>
      </c>
    </row>
    <row r="56" spans="1:5" x14ac:dyDescent="0.3">
      <c r="A56" s="4" t="s">
        <v>36</v>
      </c>
      <c r="B56">
        <v>1029</v>
      </c>
      <c r="D56" s="6">
        <v>45330</v>
      </c>
      <c r="E56">
        <v>1039</v>
      </c>
    </row>
    <row r="57" spans="1:5" x14ac:dyDescent="0.3">
      <c r="A57" s="4" t="s">
        <v>60</v>
      </c>
      <c r="B57">
        <v>1070</v>
      </c>
      <c r="D57" s="6">
        <v>45331</v>
      </c>
      <c r="E57">
        <v>1040</v>
      </c>
    </row>
    <row r="58" spans="1:5" x14ac:dyDescent="0.3">
      <c r="A58" s="4" t="s">
        <v>44</v>
      </c>
      <c r="B58">
        <v>4202</v>
      </c>
      <c r="D58" s="6">
        <v>45332</v>
      </c>
      <c r="E58">
        <v>1041</v>
      </c>
    </row>
    <row r="59" spans="1:5" x14ac:dyDescent="0.3">
      <c r="A59" s="4" t="s">
        <v>53</v>
      </c>
      <c r="B59">
        <v>1052</v>
      </c>
      <c r="D59" s="6">
        <v>45333</v>
      </c>
      <c r="E59">
        <v>1042</v>
      </c>
    </row>
    <row r="60" spans="1:5" x14ac:dyDescent="0.3">
      <c r="A60" s="4" t="s">
        <v>40</v>
      </c>
      <c r="B60">
        <v>1033</v>
      </c>
      <c r="D60" s="6">
        <v>45334</v>
      </c>
      <c r="E60">
        <v>1043</v>
      </c>
    </row>
    <row r="61" spans="1:5" x14ac:dyDescent="0.3">
      <c r="A61" s="4" t="s">
        <v>13</v>
      </c>
      <c r="B61">
        <v>2030</v>
      </c>
      <c r="D61" s="6">
        <v>45335</v>
      </c>
      <c r="E61">
        <v>1044</v>
      </c>
    </row>
    <row r="62" spans="1:5" x14ac:dyDescent="0.3">
      <c r="A62" s="4" t="s">
        <v>56</v>
      </c>
      <c r="B62">
        <v>2127</v>
      </c>
      <c r="D62" s="6">
        <v>45336</v>
      </c>
      <c r="E62">
        <v>1045</v>
      </c>
    </row>
    <row r="63" spans="1:5" x14ac:dyDescent="0.3">
      <c r="A63" s="4" t="s">
        <v>51</v>
      </c>
      <c r="B63">
        <v>1047</v>
      </c>
      <c r="D63" s="6">
        <v>45337</v>
      </c>
      <c r="E63">
        <v>1046</v>
      </c>
    </row>
    <row r="64" spans="1:5" x14ac:dyDescent="0.3">
      <c r="A64" s="4" t="s">
        <v>35</v>
      </c>
      <c r="B64">
        <v>1028</v>
      </c>
      <c r="D64" s="6">
        <v>45338</v>
      </c>
      <c r="E64">
        <v>1047</v>
      </c>
    </row>
    <row r="65" spans="1:5" x14ac:dyDescent="0.3">
      <c r="A65" s="4" t="s">
        <v>12</v>
      </c>
      <c r="B65">
        <v>2044</v>
      </c>
      <c r="D65" s="6">
        <v>45339</v>
      </c>
      <c r="E65">
        <v>1048</v>
      </c>
    </row>
    <row r="66" spans="1:5" x14ac:dyDescent="0.3">
      <c r="A66" s="4" t="s">
        <v>25</v>
      </c>
      <c r="B66">
        <v>1017</v>
      </c>
      <c r="D66" s="6">
        <v>45340</v>
      </c>
      <c r="E66">
        <v>1049</v>
      </c>
    </row>
    <row r="67" spans="1:5" x14ac:dyDescent="0.3">
      <c r="A67" s="4" t="s">
        <v>10</v>
      </c>
      <c r="B67">
        <v>1002</v>
      </c>
      <c r="D67" s="6">
        <v>45341</v>
      </c>
      <c r="E67">
        <v>1050</v>
      </c>
    </row>
    <row r="68" spans="1:5" x14ac:dyDescent="0.3">
      <c r="A68" s="4" t="s">
        <v>59</v>
      </c>
      <c r="B68">
        <v>1069</v>
      </c>
      <c r="D68" s="6">
        <v>45342</v>
      </c>
      <c r="E68">
        <v>1051</v>
      </c>
    </row>
    <row r="69" spans="1:5" x14ac:dyDescent="0.3">
      <c r="A69" s="4" t="s">
        <v>28</v>
      </c>
      <c r="B69">
        <v>4172</v>
      </c>
      <c r="D69" s="6">
        <v>45343</v>
      </c>
      <c r="E69">
        <v>1052</v>
      </c>
    </row>
    <row r="70" spans="1:5" x14ac:dyDescent="0.3">
      <c r="A70" s="4" t="s">
        <v>58</v>
      </c>
      <c r="B70">
        <v>1066</v>
      </c>
      <c r="D70" s="6">
        <v>45344</v>
      </c>
      <c r="E70">
        <v>1053</v>
      </c>
    </row>
    <row r="71" spans="1:5" x14ac:dyDescent="0.3">
      <c r="A71" s="4" t="s">
        <v>37</v>
      </c>
      <c r="B71">
        <v>1030</v>
      </c>
      <c r="D71" s="6">
        <v>45345</v>
      </c>
      <c r="E71">
        <v>1054</v>
      </c>
    </row>
    <row r="72" spans="1:5" x14ac:dyDescent="0.3">
      <c r="A72" s="4" t="s">
        <v>43</v>
      </c>
      <c r="B72">
        <v>2099</v>
      </c>
      <c r="D72" s="6">
        <v>45346</v>
      </c>
      <c r="E72">
        <v>1055</v>
      </c>
    </row>
    <row r="73" spans="1:5" x14ac:dyDescent="0.3">
      <c r="A73" s="4" t="s">
        <v>22</v>
      </c>
      <c r="B73">
        <v>1014</v>
      </c>
      <c r="D73" s="6">
        <v>45347</v>
      </c>
      <c r="E73">
        <v>1056</v>
      </c>
    </row>
    <row r="74" spans="1:5" x14ac:dyDescent="0.3">
      <c r="A74" s="4" t="s">
        <v>39</v>
      </c>
      <c r="B74">
        <v>1032</v>
      </c>
      <c r="D74" s="6">
        <v>45348</v>
      </c>
      <c r="E74">
        <v>1057</v>
      </c>
    </row>
    <row r="75" spans="1:5" x14ac:dyDescent="0.3">
      <c r="A75" s="4" t="s">
        <v>32</v>
      </c>
      <c r="B75">
        <v>1024</v>
      </c>
      <c r="D75" s="6">
        <v>45349</v>
      </c>
      <c r="E75">
        <v>1058</v>
      </c>
    </row>
    <row r="76" spans="1:5" x14ac:dyDescent="0.3">
      <c r="A76" s="4" t="s">
        <v>55</v>
      </c>
      <c r="B76">
        <v>1055</v>
      </c>
      <c r="D76" s="6">
        <v>45350</v>
      </c>
      <c r="E76">
        <v>1059</v>
      </c>
    </row>
    <row r="77" spans="1:5" x14ac:dyDescent="0.3">
      <c r="A77" s="4" t="s">
        <v>49</v>
      </c>
      <c r="B77">
        <v>2095</v>
      </c>
      <c r="D77" s="6">
        <v>45351</v>
      </c>
      <c r="E77">
        <v>1060</v>
      </c>
    </row>
    <row r="78" spans="1:5" x14ac:dyDescent="0.3">
      <c r="A78" s="4" t="s">
        <v>9</v>
      </c>
      <c r="B78">
        <v>1001</v>
      </c>
      <c r="D78" s="6">
        <v>45352</v>
      </c>
      <c r="E78">
        <v>1061</v>
      </c>
    </row>
    <row r="79" spans="1:5" x14ac:dyDescent="0.3">
      <c r="A79" s="4" t="s">
        <v>26</v>
      </c>
      <c r="B79">
        <v>1018</v>
      </c>
      <c r="D79" s="6">
        <v>45353</v>
      </c>
      <c r="E79">
        <v>1062</v>
      </c>
    </row>
    <row r="80" spans="1:5" x14ac:dyDescent="0.3">
      <c r="A80" s="4" t="s">
        <v>14</v>
      </c>
      <c r="B80">
        <v>1006</v>
      </c>
      <c r="D80" s="6">
        <v>45354</v>
      </c>
      <c r="E80">
        <v>1063</v>
      </c>
    </row>
    <row r="81" spans="1:5" x14ac:dyDescent="0.3">
      <c r="A81" s="4" t="s">
        <v>42</v>
      </c>
      <c r="B81">
        <v>1035</v>
      </c>
      <c r="D81" s="6">
        <v>45355</v>
      </c>
      <c r="E81">
        <v>1064</v>
      </c>
    </row>
    <row r="82" spans="1:5" x14ac:dyDescent="0.3">
      <c r="A82" s="4" t="s">
        <v>46</v>
      </c>
      <c r="B82">
        <v>2097</v>
      </c>
      <c r="D82" s="6">
        <v>45356</v>
      </c>
      <c r="E82">
        <v>1065</v>
      </c>
    </row>
    <row r="83" spans="1:5" x14ac:dyDescent="0.3">
      <c r="A83" s="4" t="s">
        <v>34</v>
      </c>
      <c r="B83">
        <v>1027</v>
      </c>
      <c r="D83" s="6">
        <v>45357</v>
      </c>
      <c r="E83">
        <v>1066</v>
      </c>
    </row>
    <row r="84" spans="1:5" x14ac:dyDescent="0.3">
      <c r="A84" s="4" t="s">
        <v>54</v>
      </c>
      <c r="B84">
        <v>1054</v>
      </c>
      <c r="D84" s="6">
        <v>45358</v>
      </c>
      <c r="E84">
        <v>1067</v>
      </c>
    </row>
    <row r="85" spans="1:5" x14ac:dyDescent="0.3">
      <c r="A85" s="4" t="s">
        <v>23</v>
      </c>
      <c r="B85">
        <v>1015</v>
      </c>
      <c r="D85" s="6">
        <v>45359</v>
      </c>
      <c r="E85">
        <v>1068</v>
      </c>
    </row>
    <row r="86" spans="1:5" x14ac:dyDescent="0.3">
      <c r="A86" s="4" t="s">
        <v>20</v>
      </c>
      <c r="B86">
        <v>1012</v>
      </c>
      <c r="D86" s="6">
        <v>45360</v>
      </c>
      <c r="E86">
        <v>1069</v>
      </c>
    </row>
    <row r="87" spans="1:5" x14ac:dyDescent="0.3">
      <c r="A87" s="4" t="s">
        <v>52</v>
      </c>
      <c r="B87">
        <v>1050</v>
      </c>
      <c r="D87" s="6">
        <v>45361</v>
      </c>
      <c r="E87">
        <v>1070</v>
      </c>
    </row>
    <row r="88" spans="1:5" x14ac:dyDescent="0.3">
      <c r="A88" s="4" t="s">
        <v>29</v>
      </c>
      <c r="B88">
        <v>1021</v>
      </c>
      <c r="D88" s="6" t="s">
        <v>98</v>
      </c>
      <c r="E88">
        <v>72485</v>
      </c>
    </row>
    <row r="89" spans="1:5" x14ac:dyDescent="0.3">
      <c r="A89" s="4" t="s">
        <v>11</v>
      </c>
      <c r="B89">
        <v>1003</v>
      </c>
    </row>
    <row r="90" spans="1:5" x14ac:dyDescent="0.3">
      <c r="A90" s="4" t="s">
        <v>48</v>
      </c>
      <c r="B90">
        <v>2105</v>
      </c>
    </row>
    <row r="91" spans="1:5" x14ac:dyDescent="0.3">
      <c r="A91" s="4" t="s">
        <v>38</v>
      </c>
      <c r="B91">
        <v>1031</v>
      </c>
    </row>
    <row r="92" spans="1:5" x14ac:dyDescent="0.3">
      <c r="A92" s="4" t="s">
        <v>21</v>
      </c>
      <c r="B92">
        <v>1013</v>
      </c>
    </row>
    <row r="93" spans="1:5" x14ac:dyDescent="0.3">
      <c r="A93" s="4" t="s">
        <v>41</v>
      </c>
      <c r="B93">
        <v>1034</v>
      </c>
    </row>
    <row r="94" spans="1:5" x14ac:dyDescent="0.3">
      <c r="A94" s="4" t="s">
        <v>16</v>
      </c>
      <c r="B94">
        <v>1008</v>
      </c>
    </row>
    <row r="95" spans="1:5" x14ac:dyDescent="0.3">
      <c r="A95" s="4" t="s">
        <v>50</v>
      </c>
      <c r="B95">
        <v>4231</v>
      </c>
    </row>
    <row r="96" spans="1:5" x14ac:dyDescent="0.3">
      <c r="A96" s="4" t="s">
        <v>45</v>
      </c>
      <c r="B96">
        <v>2095</v>
      </c>
    </row>
    <row r="97" spans="1:2" x14ac:dyDescent="0.3">
      <c r="A97" s="4" t="s">
        <v>33</v>
      </c>
      <c r="B97">
        <v>1026</v>
      </c>
    </row>
    <row r="98" spans="1:2" x14ac:dyDescent="0.3">
      <c r="A98" s="4" t="s">
        <v>19</v>
      </c>
      <c r="B98">
        <v>1011</v>
      </c>
    </row>
    <row r="99" spans="1:2" x14ac:dyDescent="0.3">
      <c r="A99" s="4" t="s">
        <v>98</v>
      </c>
      <c r="B99">
        <v>72485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76DA1-7235-4805-AA85-FA00C7767363}">
  <dimension ref="A3:C16"/>
  <sheetViews>
    <sheetView workbookViewId="0">
      <selection activeCell="H12" activeCellId="1" sqref="C27 H12"/>
    </sheetView>
  </sheetViews>
  <sheetFormatPr defaultRowHeight="14.4" x14ac:dyDescent="0.3"/>
  <cols>
    <col min="1" max="1" width="10.33203125" bestFit="1" customWidth="1"/>
    <col min="2" max="2" width="12.5546875" bestFit="1" customWidth="1"/>
    <col min="3" max="3" width="16.33203125" bestFit="1" customWidth="1"/>
    <col min="4" max="4" width="14.88671875" bestFit="1" customWidth="1"/>
  </cols>
  <sheetData>
    <row r="3" spans="1:3" x14ac:dyDescent="0.3">
      <c r="A3" t="s">
        <v>110</v>
      </c>
      <c r="B3" t="s">
        <v>102</v>
      </c>
    </row>
    <row r="4" spans="1:3" x14ac:dyDescent="0.3">
      <c r="A4">
        <v>5869.2999999999911</v>
      </c>
      <c r="B4">
        <v>11578.309999999989</v>
      </c>
    </row>
    <row r="6" spans="1:3" x14ac:dyDescent="0.3">
      <c r="A6" t="s">
        <v>106</v>
      </c>
      <c r="B6" t="s">
        <v>108</v>
      </c>
      <c r="C6" t="s">
        <v>102</v>
      </c>
    </row>
    <row r="7" spans="1:3" x14ac:dyDescent="0.3">
      <c r="A7">
        <v>1157.8310000000006</v>
      </c>
      <c r="B7">
        <v>11747.309999999989</v>
      </c>
      <c r="C7">
        <v>11578.309999999989</v>
      </c>
    </row>
    <row r="12" spans="1:3" x14ac:dyDescent="0.3">
      <c r="B12" s="3" t="s">
        <v>92</v>
      </c>
      <c r="C12" t="s">
        <v>111</v>
      </c>
    </row>
    <row r="13" spans="1:3" x14ac:dyDescent="0.3">
      <c r="B13" s="4" t="s">
        <v>103</v>
      </c>
      <c r="C13">
        <v>29</v>
      </c>
    </row>
    <row r="14" spans="1:3" x14ac:dyDescent="0.3">
      <c r="B14" s="4" t="s">
        <v>104</v>
      </c>
      <c r="C14">
        <v>29</v>
      </c>
    </row>
    <row r="15" spans="1:3" x14ac:dyDescent="0.3">
      <c r="B15" s="4" t="s">
        <v>105</v>
      </c>
      <c r="C15">
        <v>12</v>
      </c>
    </row>
    <row r="16" spans="1:3" x14ac:dyDescent="0.3">
      <c r="B16" s="4" t="s">
        <v>98</v>
      </c>
      <c r="C16">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7021B-4CA9-4AF6-BDAF-0817C190C3A0}">
  <dimension ref="A1:M71"/>
  <sheetViews>
    <sheetView topLeftCell="A2" workbookViewId="0">
      <selection activeCell="F3" sqref="F3"/>
    </sheetView>
  </sheetViews>
  <sheetFormatPr defaultRowHeight="14.4" x14ac:dyDescent="0.3"/>
  <cols>
    <col min="1" max="1" width="11.88671875" customWidth="1"/>
    <col min="2" max="2" width="16.109375" customWidth="1"/>
    <col min="3" max="3" width="20.33203125" customWidth="1"/>
    <col min="4" max="4" width="13" customWidth="1"/>
    <col min="5" max="5" width="12.109375" customWidth="1"/>
    <col min="6" max="6" width="15.44140625" customWidth="1"/>
    <col min="7" max="7" width="10.21875" customWidth="1"/>
    <col min="10" max="10" width="15" customWidth="1"/>
    <col min="11" max="11" width="11.33203125" customWidth="1"/>
  </cols>
  <sheetData>
    <row r="1" spans="1:13" x14ac:dyDescent="0.3">
      <c r="A1" t="s">
        <v>0</v>
      </c>
      <c r="B1" t="s">
        <v>1</v>
      </c>
      <c r="C1" t="s">
        <v>2</v>
      </c>
      <c r="D1" t="s">
        <v>3</v>
      </c>
      <c r="E1" t="s">
        <v>4</v>
      </c>
      <c r="F1" t="s">
        <v>5</v>
      </c>
      <c r="G1" t="s">
        <v>6</v>
      </c>
      <c r="H1" t="s">
        <v>7</v>
      </c>
      <c r="I1" t="s">
        <v>8</v>
      </c>
      <c r="J1" t="s">
        <v>61</v>
      </c>
      <c r="K1" t="s">
        <v>89</v>
      </c>
      <c r="L1" t="s">
        <v>90</v>
      </c>
      <c r="M1" t="s">
        <v>91</v>
      </c>
    </row>
    <row r="2" spans="1:13" x14ac:dyDescent="0.3">
      <c r="A2">
        <v>1001</v>
      </c>
      <c r="B2" s="1">
        <v>45292</v>
      </c>
      <c r="C2" t="s">
        <v>9</v>
      </c>
      <c r="D2" s="1">
        <v>45294</v>
      </c>
      <c r="E2">
        <v>49.99</v>
      </c>
      <c r="F2">
        <v>2</v>
      </c>
      <c r="G2">
        <f>E2*F2</f>
        <v>99.98</v>
      </c>
      <c r="H2">
        <v>9.9979999999999993</v>
      </c>
      <c r="I2">
        <f>SUM(G2,F2)</f>
        <v>101.98</v>
      </c>
      <c r="J2" t="s">
        <v>62</v>
      </c>
      <c r="K2" s="2" t="str">
        <f>TEXT(Table1[[#This Row],[Ship Date]],"dddd")</f>
        <v>Wednesday</v>
      </c>
      <c r="L2" t="str">
        <f>TEXT(Table1[[#This Row],[Ship Date]],"mmmm")</f>
        <v>January</v>
      </c>
      <c r="M2" t="str">
        <f>TEXT(Table1[[#This Row],[Ship Date]],"yyyy")</f>
        <v>2024</v>
      </c>
    </row>
    <row r="3" spans="1:13" x14ac:dyDescent="0.3">
      <c r="A3">
        <v>1002</v>
      </c>
      <c r="B3" s="1">
        <v>45293</v>
      </c>
      <c r="C3" t="s">
        <v>10</v>
      </c>
      <c r="D3" s="1">
        <v>45295</v>
      </c>
      <c r="E3">
        <v>29.99</v>
      </c>
      <c r="F3">
        <v>1</v>
      </c>
      <c r="G3">
        <f t="shared" ref="G3:G66" si="0">E3*F3</f>
        <v>29.99</v>
      </c>
      <c r="H3">
        <v>2.9990000000000001</v>
      </c>
      <c r="I3">
        <f t="shared" ref="I3:I66" si="1">SUM(G3,F3)</f>
        <v>30.99</v>
      </c>
      <c r="J3" t="s">
        <v>63</v>
      </c>
      <c r="K3" s="2" t="str">
        <f>TEXT(Table1[[#This Row],[Ship Date]],"dddd")</f>
        <v>Thursday</v>
      </c>
      <c r="L3" t="str">
        <f>TEXT(Table1[[#This Row],[Ship Date]],"mmmm")</f>
        <v>January</v>
      </c>
      <c r="M3" t="str">
        <f>TEXT(Table1[[#This Row],[Ship Date]],"yyyy")</f>
        <v>2024</v>
      </c>
    </row>
    <row r="4" spans="1:13" x14ac:dyDescent="0.3">
      <c r="A4">
        <v>1003</v>
      </c>
      <c r="B4" s="1">
        <v>45294</v>
      </c>
      <c r="C4" t="s">
        <v>11</v>
      </c>
      <c r="D4" s="1">
        <v>45296</v>
      </c>
      <c r="E4">
        <v>99.99</v>
      </c>
      <c r="F4">
        <v>3</v>
      </c>
      <c r="G4">
        <f t="shared" si="0"/>
        <v>299.96999999999997</v>
      </c>
      <c r="H4">
        <v>29.997</v>
      </c>
      <c r="I4">
        <f t="shared" si="1"/>
        <v>302.96999999999997</v>
      </c>
      <c r="J4" t="s">
        <v>64</v>
      </c>
      <c r="K4" s="2" t="str">
        <f>TEXT(Table1[[#This Row],[Ship Date]],"dddd")</f>
        <v>Friday</v>
      </c>
      <c r="L4" t="str">
        <f>TEXT(Table1[[#This Row],[Ship Date]],"mmmm")</f>
        <v>January</v>
      </c>
      <c r="M4" t="str">
        <f>TEXT(Table1[[#This Row],[Ship Date]],"yyyy")</f>
        <v>2024</v>
      </c>
    </row>
    <row r="5" spans="1:13" x14ac:dyDescent="0.3">
      <c r="A5">
        <v>1004</v>
      </c>
      <c r="B5" s="1">
        <v>45295</v>
      </c>
      <c r="C5" t="s">
        <v>12</v>
      </c>
      <c r="D5" s="1">
        <v>45297</v>
      </c>
      <c r="E5">
        <v>19.989999999999998</v>
      </c>
      <c r="F5">
        <v>4</v>
      </c>
      <c r="G5">
        <f t="shared" si="0"/>
        <v>79.959999999999994</v>
      </c>
      <c r="H5">
        <v>7.9960000000000004</v>
      </c>
      <c r="I5">
        <f t="shared" si="1"/>
        <v>83.96</v>
      </c>
      <c r="J5" t="s">
        <v>65</v>
      </c>
      <c r="K5" s="2" t="str">
        <f>TEXT(Table1[[#This Row],[Ship Date]],"dddd")</f>
        <v>Saturday</v>
      </c>
      <c r="L5" t="str">
        <f>TEXT(Table1[[#This Row],[Ship Date]],"mmmm")</f>
        <v>January</v>
      </c>
      <c r="M5" t="str">
        <f>TEXT(Table1[[#This Row],[Ship Date]],"yyyy")</f>
        <v>2024</v>
      </c>
    </row>
    <row r="6" spans="1:13" x14ac:dyDescent="0.3">
      <c r="A6">
        <v>1005</v>
      </c>
      <c r="B6" s="1">
        <v>45296</v>
      </c>
      <c r="C6" t="s">
        <v>13</v>
      </c>
      <c r="D6" s="1">
        <v>45298</v>
      </c>
      <c r="E6">
        <v>149.99</v>
      </c>
      <c r="F6">
        <v>1</v>
      </c>
      <c r="G6">
        <f t="shared" si="0"/>
        <v>149.99</v>
      </c>
      <c r="H6">
        <v>14.999000000000001</v>
      </c>
      <c r="I6">
        <f t="shared" si="1"/>
        <v>150.99</v>
      </c>
      <c r="J6" t="s">
        <v>66</v>
      </c>
      <c r="K6" s="2" t="str">
        <f>TEXT(Table1[[#This Row],[Ship Date]],"dddd")</f>
        <v>Sunday</v>
      </c>
      <c r="L6" t="str">
        <f>TEXT(Table1[[#This Row],[Ship Date]],"mmmm")</f>
        <v>January</v>
      </c>
      <c r="M6" t="str">
        <f>TEXT(Table1[[#This Row],[Ship Date]],"yyyy")</f>
        <v>2024</v>
      </c>
    </row>
    <row r="7" spans="1:13" x14ac:dyDescent="0.3">
      <c r="A7">
        <v>1006</v>
      </c>
      <c r="B7" s="1">
        <v>45297</v>
      </c>
      <c r="C7" t="s">
        <v>14</v>
      </c>
      <c r="D7" s="1">
        <v>45299</v>
      </c>
      <c r="E7">
        <v>79.989999999999995</v>
      </c>
      <c r="F7">
        <v>2</v>
      </c>
      <c r="G7">
        <f t="shared" si="0"/>
        <v>159.97999999999999</v>
      </c>
      <c r="H7">
        <v>15.997999999999999</v>
      </c>
      <c r="I7">
        <f t="shared" si="1"/>
        <v>161.97999999999999</v>
      </c>
      <c r="J7" t="s">
        <v>67</v>
      </c>
      <c r="K7" s="2" t="str">
        <f>TEXT(Table1[[#This Row],[Ship Date]],"dddd")</f>
        <v>Monday</v>
      </c>
      <c r="L7" t="str">
        <f>TEXT(Table1[[#This Row],[Ship Date]],"mmmm")</f>
        <v>January</v>
      </c>
      <c r="M7" t="str">
        <f>TEXT(Table1[[#This Row],[Ship Date]],"yyyy")</f>
        <v>2024</v>
      </c>
    </row>
    <row r="8" spans="1:13" x14ac:dyDescent="0.3">
      <c r="A8">
        <v>1007</v>
      </c>
      <c r="B8" s="1">
        <v>45298</v>
      </c>
      <c r="C8" t="s">
        <v>15</v>
      </c>
      <c r="D8" s="1">
        <v>45300</v>
      </c>
      <c r="E8">
        <v>39.99</v>
      </c>
      <c r="F8">
        <v>3</v>
      </c>
      <c r="G8">
        <f t="shared" si="0"/>
        <v>119.97</v>
      </c>
      <c r="H8">
        <v>11.997</v>
      </c>
      <c r="I8">
        <f t="shared" si="1"/>
        <v>122.97</v>
      </c>
      <c r="J8" t="s">
        <v>68</v>
      </c>
      <c r="K8" s="2" t="str">
        <f>TEXT(Table1[[#This Row],[Ship Date]],"dddd")</f>
        <v>Tuesday</v>
      </c>
      <c r="L8" t="str">
        <f>TEXT(Table1[[#This Row],[Ship Date]],"mmmm")</f>
        <v>January</v>
      </c>
      <c r="M8" t="str">
        <f>TEXT(Table1[[#This Row],[Ship Date]],"yyyy")</f>
        <v>2024</v>
      </c>
    </row>
    <row r="9" spans="1:13" x14ac:dyDescent="0.3">
      <c r="A9">
        <v>1008</v>
      </c>
      <c r="B9" s="1">
        <v>45299</v>
      </c>
      <c r="C9" t="s">
        <v>16</v>
      </c>
      <c r="D9" s="1">
        <v>45301</v>
      </c>
      <c r="E9">
        <v>69.989999999999995</v>
      </c>
      <c r="F9">
        <v>1</v>
      </c>
      <c r="G9">
        <f t="shared" si="0"/>
        <v>69.989999999999995</v>
      </c>
      <c r="H9">
        <v>6.9989999999999997</v>
      </c>
      <c r="I9">
        <f t="shared" si="1"/>
        <v>70.989999999999995</v>
      </c>
      <c r="J9" t="s">
        <v>62</v>
      </c>
      <c r="K9" s="2" t="str">
        <f>TEXT(Table1[[#This Row],[Ship Date]],"dddd")</f>
        <v>Wednesday</v>
      </c>
      <c r="L9" t="str">
        <f>TEXT(Table1[[#This Row],[Ship Date]],"mmmm")</f>
        <v>January</v>
      </c>
      <c r="M9" t="str">
        <f>TEXT(Table1[[#This Row],[Ship Date]],"yyyy")</f>
        <v>2024</v>
      </c>
    </row>
    <row r="10" spans="1:13" x14ac:dyDescent="0.3">
      <c r="A10">
        <v>1009</v>
      </c>
      <c r="B10" s="1">
        <v>45300</v>
      </c>
      <c r="C10" t="s">
        <v>17</v>
      </c>
      <c r="D10" s="1">
        <v>45302</v>
      </c>
      <c r="E10">
        <v>89.99</v>
      </c>
      <c r="F10">
        <v>1</v>
      </c>
      <c r="G10">
        <f t="shared" si="0"/>
        <v>89.99</v>
      </c>
      <c r="H10">
        <v>8.9990000000000006</v>
      </c>
      <c r="I10">
        <f t="shared" si="1"/>
        <v>90.99</v>
      </c>
      <c r="J10" t="s">
        <v>63</v>
      </c>
      <c r="K10" s="2" t="str">
        <f>TEXT(Table1[[#This Row],[Ship Date]],"dddd")</f>
        <v>Thursday</v>
      </c>
      <c r="L10" t="str">
        <f>TEXT(Table1[[#This Row],[Ship Date]],"mmmm")</f>
        <v>January</v>
      </c>
      <c r="M10" t="str">
        <f>TEXT(Table1[[#This Row],[Ship Date]],"yyyy")</f>
        <v>2024</v>
      </c>
    </row>
    <row r="11" spans="1:13" x14ac:dyDescent="0.3">
      <c r="A11">
        <v>1010</v>
      </c>
      <c r="B11" s="1">
        <v>45301</v>
      </c>
      <c r="C11" t="s">
        <v>18</v>
      </c>
      <c r="D11" s="1">
        <v>45303</v>
      </c>
      <c r="E11">
        <v>199.99</v>
      </c>
      <c r="F11">
        <v>5</v>
      </c>
      <c r="G11">
        <f t="shared" si="0"/>
        <v>999.95</v>
      </c>
      <c r="H11">
        <v>99.995000000000005</v>
      </c>
      <c r="I11">
        <f t="shared" si="1"/>
        <v>1004.95</v>
      </c>
      <c r="J11" t="s">
        <v>69</v>
      </c>
      <c r="K11" s="2" t="str">
        <f>TEXT(Table1[[#This Row],[Ship Date]],"dddd")</f>
        <v>Friday</v>
      </c>
      <c r="L11" t="str">
        <f>TEXT(Table1[[#This Row],[Ship Date]],"mmmm")</f>
        <v>January</v>
      </c>
      <c r="M11" t="str">
        <f>TEXT(Table1[[#This Row],[Ship Date]],"yyyy")</f>
        <v>2024</v>
      </c>
    </row>
    <row r="12" spans="1:13" x14ac:dyDescent="0.3">
      <c r="A12">
        <v>1011</v>
      </c>
      <c r="B12" s="1">
        <v>45302</v>
      </c>
      <c r="C12" t="s">
        <v>19</v>
      </c>
      <c r="D12" s="1">
        <v>45304</v>
      </c>
      <c r="E12">
        <v>29.99</v>
      </c>
      <c r="F12">
        <v>2</v>
      </c>
      <c r="G12">
        <f t="shared" si="0"/>
        <v>59.98</v>
      </c>
      <c r="H12">
        <v>5.9980000000000002</v>
      </c>
      <c r="I12">
        <f t="shared" si="1"/>
        <v>61.98</v>
      </c>
      <c r="J12" t="s">
        <v>70</v>
      </c>
      <c r="K12" s="2" t="str">
        <f>TEXT(Table1[[#This Row],[Ship Date]],"dddd")</f>
        <v>Saturday</v>
      </c>
      <c r="L12" t="str">
        <f>TEXT(Table1[[#This Row],[Ship Date]],"mmmm")</f>
        <v>January</v>
      </c>
      <c r="M12" t="str">
        <f>TEXT(Table1[[#This Row],[Ship Date]],"yyyy")</f>
        <v>2024</v>
      </c>
    </row>
    <row r="13" spans="1:13" x14ac:dyDescent="0.3">
      <c r="A13">
        <v>1012</v>
      </c>
      <c r="B13" s="1">
        <v>45303</v>
      </c>
      <c r="C13" t="s">
        <v>20</v>
      </c>
      <c r="D13" s="1">
        <v>45305</v>
      </c>
      <c r="E13">
        <v>29.99</v>
      </c>
      <c r="F13">
        <v>3</v>
      </c>
      <c r="G13">
        <f t="shared" si="0"/>
        <v>89.97</v>
      </c>
      <c r="H13">
        <v>8.9969999999999999</v>
      </c>
      <c r="I13">
        <f t="shared" si="1"/>
        <v>92.97</v>
      </c>
      <c r="J13" t="s">
        <v>71</v>
      </c>
      <c r="K13" s="2" t="str">
        <f>TEXT(Table1[[#This Row],[Ship Date]],"dddd")</f>
        <v>Sunday</v>
      </c>
      <c r="L13" t="str">
        <f>TEXT(Table1[[#This Row],[Ship Date]],"mmmm")</f>
        <v>January</v>
      </c>
      <c r="M13" t="str">
        <f>TEXT(Table1[[#This Row],[Ship Date]],"yyyy")</f>
        <v>2024</v>
      </c>
    </row>
    <row r="14" spans="1:13" x14ac:dyDescent="0.3">
      <c r="A14">
        <v>1013</v>
      </c>
      <c r="B14" s="1">
        <v>45304</v>
      </c>
      <c r="C14" t="s">
        <v>21</v>
      </c>
      <c r="D14" s="1">
        <v>45306</v>
      </c>
      <c r="E14">
        <v>79.989999999999995</v>
      </c>
      <c r="F14">
        <v>1</v>
      </c>
      <c r="G14">
        <f t="shared" si="0"/>
        <v>79.989999999999995</v>
      </c>
      <c r="H14">
        <v>7.9989999999999997</v>
      </c>
      <c r="I14">
        <f t="shared" si="1"/>
        <v>80.989999999999995</v>
      </c>
      <c r="J14" t="s">
        <v>66</v>
      </c>
      <c r="K14" s="2" t="str">
        <f>TEXT(Table1[[#This Row],[Ship Date]],"dddd")</f>
        <v>Monday</v>
      </c>
      <c r="L14" t="str">
        <f>TEXT(Table1[[#This Row],[Ship Date]],"mmmm")</f>
        <v>January</v>
      </c>
      <c r="M14" t="str">
        <f>TEXT(Table1[[#This Row],[Ship Date]],"yyyy")</f>
        <v>2024</v>
      </c>
    </row>
    <row r="15" spans="1:13" x14ac:dyDescent="0.3">
      <c r="A15">
        <v>1014</v>
      </c>
      <c r="B15" s="1">
        <v>45305</v>
      </c>
      <c r="C15" t="s">
        <v>22</v>
      </c>
      <c r="D15" s="1">
        <v>45307</v>
      </c>
      <c r="E15">
        <v>49.99</v>
      </c>
      <c r="F15">
        <v>4</v>
      </c>
      <c r="G15">
        <f t="shared" si="0"/>
        <v>199.96</v>
      </c>
      <c r="H15">
        <v>19.995999999999999</v>
      </c>
      <c r="I15">
        <f t="shared" si="1"/>
        <v>203.96</v>
      </c>
      <c r="J15" t="s">
        <v>72</v>
      </c>
      <c r="K15" s="2" t="str">
        <f>TEXT(Table1[[#This Row],[Ship Date]],"dddd")</f>
        <v>Tuesday</v>
      </c>
      <c r="L15" t="str">
        <f>TEXT(Table1[[#This Row],[Ship Date]],"mmmm")</f>
        <v>January</v>
      </c>
      <c r="M15" t="str">
        <f>TEXT(Table1[[#This Row],[Ship Date]],"yyyy")</f>
        <v>2024</v>
      </c>
    </row>
    <row r="16" spans="1:13" x14ac:dyDescent="0.3">
      <c r="A16">
        <v>1015</v>
      </c>
      <c r="B16" s="1">
        <v>45306</v>
      </c>
      <c r="C16" t="s">
        <v>23</v>
      </c>
      <c r="D16" s="1">
        <v>45308</v>
      </c>
      <c r="E16">
        <v>129.99</v>
      </c>
      <c r="F16">
        <v>1</v>
      </c>
      <c r="G16">
        <f t="shared" si="0"/>
        <v>129.99</v>
      </c>
      <c r="H16">
        <v>12.999000000000001</v>
      </c>
      <c r="I16">
        <f t="shared" si="1"/>
        <v>130.99</v>
      </c>
      <c r="J16" t="s">
        <v>74</v>
      </c>
      <c r="K16" s="2" t="str">
        <f>TEXT(Table1[[#This Row],[Ship Date]],"dddd")</f>
        <v>Wednesday</v>
      </c>
      <c r="L16" t="str">
        <f>TEXT(Table1[[#This Row],[Ship Date]],"mmmm")</f>
        <v>January</v>
      </c>
      <c r="M16" t="str">
        <f>TEXT(Table1[[#This Row],[Ship Date]],"yyyy")</f>
        <v>2024</v>
      </c>
    </row>
    <row r="17" spans="1:13" x14ac:dyDescent="0.3">
      <c r="A17">
        <v>1016</v>
      </c>
      <c r="B17" s="1">
        <v>45307</v>
      </c>
      <c r="C17" t="s">
        <v>24</v>
      </c>
      <c r="D17" s="1">
        <v>45309</v>
      </c>
      <c r="E17">
        <v>69.989999999999995</v>
      </c>
      <c r="F17">
        <v>2</v>
      </c>
      <c r="G17">
        <f t="shared" si="0"/>
        <v>139.97999999999999</v>
      </c>
      <c r="H17">
        <v>13.997999999999999</v>
      </c>
      <c r="I17">
        <f t="shared" si="1"/>
        <v>141.97999999999999</v>
      </c>
      <c r="J17" t="s">
        <v>73</v>
      </c>
      <c r="K17" s="2" t="str">
        <f>TEXT(Table1[[#This Row],[Ship Date]],"dddd")</f>
        <v>Thursday</v>
      </c>
      <c r="L17" t="str">
        <f>TEXT(Table1[[#This Row],[Ship Date]],"mmmm")</f>
        <v>January</v>
      </c>
      <c r="M17" t="str">
        <f>TEXT(Table1[[#This Row],[Ship Date]],"yyyy")</f>
        <v>2024</v>
      </c>
    </row>
    <row r="18" spans="1:13" x14ac:dyDescent="0.3">
      <c r="A18">
        <v>1017</v>
      </c>
      <c r="B18" s="1">
        <v>45308</v>
      </c>
      <c r="C18" t="s">
        <v>25</v>
      </c>
      <c r="D18" s="1">
        <v>45310</v>
      </c>
      <c r="E18">
        <v>39.99</v>
      </c>
      <c r="F18">
        <v>3</v>
      </c>
      <c r="G18">
        <f t="shared" si="0"/>
        <v>119.97</v>
      </c>
      <c r="H18">
        <v>11.997</v>
      </c>
      <c r="I18">
        <f t="shared" si="1"/>
        <v>122.97</v>
      </c>
      <c r="J18" t="s">
        <v>75</v>
      </c>
      <c r="K18" s="2" t="str">
        <f>TEXT(Table1[[#This Row],[Ship Date]],"dddd")</f>
        <v>Friday</v>
      </c>
      <c r="L18" t="str">
        <f>TEXT(Table1[[#This Row],[Ship Date]],"mmmm")</f>
        <v>January</v>
      </c>
      <c r="M18" t="str">
        <f>TEXT(Table1[[#This Row],[Ship Date]],"yyyy")</f>
        <v>2024</v>
      </c>
    </row>
    <row r="19" spans="1:13" x14ac:dyDescent="0.3">
      <c r="A19">
        <v>1018</v>
      </c>
      <c r="B19" s="1">
        <v>45309</v>
      </c>
      <c r="C19" t="s">
        <v>26</v>
      </c>
      <c r="D19" s="1">
        <v>45311</v>
      </c>
      <c r="E19">
        <v>199.99</v>
      </c>
      <c r="F19">
        <v>1</v>
      </c>
      <c r="G19">
        <f t="shared" si="0"/>
        <v>199.99</v>
      </c>
      <c r="H19">
        <v>19.998999999999999</v>
      </c>
      <c r="I19">
        <f t="shared" si="1"/>
        <v>200.99</v>
      </c>
      <c r="J19" t="s">
        <v>76</v>
      </c>
      <c r="K19" s="2" t="str">
        <f>TEXT(Table1[[#This Row],[Ship Date]],"dddd")</f>
        <v>Saturday</v>
      </c>
      <c r="L19" t="str">
        <f>TEXT(Table1[[#This Row],[Ship Date]],"mmmm")</f>
        <v>January</v>
      </c>
      <c r="M19" t="str">
        <f>TEXT(Table1[[#This Row],[Ship Date]],"yyyy")</f>
        <v>2024</v>
      </c>
    </row>
    <row r="20" spans="1:13" x14ac:dyDescent="0.3">
      <c r="A20">
        <v>1019</v>
      </c>
      <c r="B20" s="1">
        <v>45310</v>
      </c>
      <c r="C20" t="s">
        <v>27</v>
      </c>
      <c r="D20" s="1">
        <v>45312</v>
      </c>
      <c r="E20">
        <v>29.99</v>
      </c>
      <c r="F20">
        <v>5</v>
      </c>
      <c r="G20">
        <f t="shared" si="0"/>
        <v>149.94999999999999</v>
      </c>
      <c r="H20">
        <v>14.994999999999999</v>
      </c>
      <c r="I20">
        <f t="shared" si="1"/>
        <v>154.94999999999999</v>
      </c>
      <c r="J20" t="s">
        <v>77</v>
      </c>
      <c r="K20" s="2" t="str">
        <f>TEXT(Table1[[#This Row],[Ship Date]],"dddd")</f>
        <v>Sunday</v>
      </c>
      <c r="L20" t="str">
        <f>TEXT(Table1[[#This Row],[Ship Date]],"mmmm")</f>
        <v>January</v>
      </c>
      <c r="M20" t="str">
        <f>TEXT(Table1[[#This Row],[Ship Date]],"yyyy")</f>
        <v>2024</v>
      </c>
    </row>
    <row r="21" spans="1:13" x14ac:dyDescent="0.3">
      <c r="A21">
        <v>1020</v>
      </c>
      <c r="B21" s="1">
        <v>45311</v>
      </c>
      <c r="C21" t="s">
        <v>28</v>
      </c>
      <c r="D21" s="1">
        <v>45313</v>
      </c>
      <c r="E21">
        <v>79.989999999999995</v>
      </c>
      <c r="F21">
        <v>2</v>
      </c>
      <c r="G21">
        <f t="shared" si="0"/>
        <v>159.97999999999999</v>
      </c>
      <c r="H21">
        <v>15.997999999999999</v>
      </c>
      <c r="I21">
        <f t="shared" si="1"/>
        <v>161.97999999999999</v>
      </c>
      <c r="J21" t="s">
        <v>78</v>
      </c>
      <c r="K21" s="2" t="str">
        <f>TEXT(Table1[[#This Row],[Ship Date]],"dddd")</f>
        <v>Monday</v>
      </c>
      <c r="L21" t="str">
        <f>TEXT(Table1[[#This Row],[Ship Date]],"mmmm")</f>
        <v>January</v>
      </c>
      <c r="M21" t="str">
        <f>TEXT(Table1[[#This Row],[Ship Date]],"yyyy")</f>
        <v>2024</v>
      </c>
    </row>
    <row r="22" spans="1:13" x14ac:dyDescent="0.3">
      <c r="A22">
        <v>1021</v>
      </c>
      <c r="B22" s="1">
        <v>45312</v>
      </c>
      <c r="C22" t="s">
        <v>29</v>
      </c>
      <c r="D22" s="1">
        <v>45314</v>
      </c>
      <c r="E22">
        <v>49.99</v>
      </c>
      <c r="F22">
        <v>3</v>
      </c>
      <c r="G22">
        <f t="shared" si="0"/>
        <v>149.97</v>
      </c>
      <c r="H22">
        <v>14.997</v>
      </c>
      <c r="I22">
        <f t="shared" si="1"/>
        <v>152.97</v>
      </c>
      <c r="J22" t="s">
        <v>79</v>
      </c>
      <c r="K22" s="2" t="str">
        <f>TEXT(Table1[[#This Row],[Ship Date]],"dddd")</f>
        <v>Tuesday</v>
      </c>
      <c r="L22" t="str">
        <f>TEXT(Table1[[#This Row],[Ship Date]],"mmmm")</f>
        <v>January</v>
      </c>
      <c r="M22" t="str">
        <f>TEXT(Table1[[#This Row],[Ship Date]],"yyyy")</f>
        <v>2024</v>
      </c>
    </row>
    <row r="23" spans="1:13" x14ac:dyDescent="0.3">
      <c r="A23">
        <v>1022</v>
      </c>
      <c r="B23" s="1">
        <v>45313</v>
      </c>
      <c r="C23" t="s">
        <v>30</v>
      </c>
      <c r="D23" s="1">
        <v>45315</v>
      </c>
      <c r="E23">
        <v>69.989999999999995</v>
      </c>
      <c r="F23">
        <v>1</v>
      </c>
      <c r="G23">
        <f t="shared" si="0"/>
        <v>69.989999999999995</v>
      </c>
      <c r="H23">
        <v>6.9989999999999997</v>
      </c>
      <c r="I23">
        <f t="shared" si="1"/>
        <v>70.989999999999995</v>
      </c>
      <c r="J23" t="s">
        <v>62</v>
      </c>
      <c r="K23" s="2" t="str">
        <f>TEXT(Table1[[#This Row],[Ship Date]],"dddd")</f>
        <v>Wednesday</v>
      </c>
      <c r="L23" t="str">
        <f>TEXT(Table1[[#This Row],[Ship Date]],"mmmm")</f>
        <v>January</v>
      </c>
      <c r="M23" t="str">
        <f>TEXT(Table1[[#This Row],[Ship Date]],"yyyy")</f>
        <v>2024</v>
      </c>
    </row>
    <row r="24" spans="1:13" x14ac:dyDescent="0.3">
      <c r="A24">
        <v>1023</v>
      </c>
      <c r="B24" s="1">
        <v>45314</v>
      </c>
      <c r="C24" t="s">
        <v>31</v>
      </c>
      <c r="D24" s="1">
        <v>45316</v>
      </c>
      <c r="E24">
        <v>39.99</v>
      </c>
      <c r="F24">
        <v>4</v>
      </c>
      <c r="G24">
        <f t="shared" si="0"/>
        <v>159.96</v>
      </c>
      <c r="H24">
        <v>15.996</v>
      </c>
      <c r="I24">
        <f t="shared" si="1"/>
        <v>163.96</v>
      </c>
      <c r="J24" t="s">
        <v>62</v>
      </c>
      <c r="K24" s="2" t="str">
        <f>TEXT(Table1[[#This Row],[Ship Date]],"dddd")</f>
        <v>Thursday</v>
      </c>
      <c r="L24" t="str">
        <f>TEXT(Table1[[#This Row],[Ship Date]],"mmmm")</f>
        <v>January</v>
      </c>
      <c r="M24" t="str">
        <f>TEXT(Table1[[#This Row],[Ship Date]],"yyyy")</f>
        <v>2024</v>
      </c>
    </row>
    <row r="25" spans="1:13" x14ac:dyDescent="0.3">
      <c r="A25">
        <v>1024</v>
      </c>
      <c r="B25" s="1">
        <v>45315</v>
      </c>
      <c r="C25" t="s">
        <v>32</v>
      </c>
      <c r="D25" s="1">
        <v>45317</v>
      </c>
      <c r="E25">
        <v>199.99</v>
      </c>
      <c r="F25">
        <v>1</v>
      </c>
      <c r="G25">
        <f t="shared" si="0"/>
        <v>199.99</v>
      </c>
      <c r="H25">
        <v>19.998999999999999</v>
      </c>
      <c r="I25">
        <f t="shared" si="1"/>
        <v>200.99</v>
      </c>
      <c r="J25" t="s">
        <v>80</v>
      </c>
      <c r="K25" s="2" t="str">
        <f>TEXT(Table1[[#This Row],[Ship Date]],"dddd")</f>
        <v>Friday</v>
      </c>
      <c r="L25" t="str">
        <f>TEXT(Table1[[#This Row],[Ship Date]],"mmmm")</f>
        <v>January</v>
      </c>
      <c r="M25" t="str">
        <f>TEXT(Table1[[#This Row],[Ship Date]],"yyyy")</f>
        <v>2024</v>
      </c>
    </row>
    <row r="26" spans="1:13" x14ac:dyDescent="0.3">
      <c r="A26">
        <v>1025</v>
      </c>
      <c r="B26" s="1">
        <v>45316</v>
      </c>
      <c r="C26" t="s">
        <v>13</v>
      </c>
      <c r="D26" s="1">
        <v>45318</v>
      </c>
      <c r="E26">
        <v>29.99</v>
      </c>
      <c r="F26">
        <v>5</v>
      </c>
      <c r="G26">
        <f t="shared" si="0"/>
        <v>149.94999999999999</v>
      </c>
      <c r="H26">
        <v>14.994999999999999</v>
      </c>
      <c r="I26">
        <f t="shared" si="1"/>
        <v>154.94999999999999</v>
      </c>
      <c r="J26" t="s">
        <v>81</v>
      </c>
      <c r="K26" s="2" t="str">
        <f>TEXT(Table1[[#This Row],[Ship Date]],"dddd")</f>
        <v>Saturday</v>
      </c>
      <c r="L26" t="str">
        <f>TEXT(Table1[[#This Row],[Ship Date]],"mmmm")</f>
        <v>January</v>
      </c>
      <c r="M26" t="str">
        <f>TEXT(Table1[[#This Row],[Ship Date]],"yyyy")</f>
        <v>2024</v>
      </c>
    </row>
    <row r="27" spans="1:13" x14ac:dyDescent="0.3">
      <c r="A27">
        <v>1026</v>
      </c>
      <c r="B27" s="1">
        <v>45317</v>
      </c>
      <c r="C27" t="s">
        <v>33</v>
      </c>
      <c r="D27" s="1">
        <v>45319</v>
      </c>
      <c r="E27">
        <v>79.989999999999995</v>
      </c>
      <c r="F27">
        <v>2</v>
      </c>
      <c r="G27">
        <f t="shared" si="0"/>
        <v>159.97999999999999</v>
      </c>
      <c r="H27">
        <v>15.997999999999999</v>
      </c>
      <c r="I27">
        <f t="shared" si="1"/>
        <v>161.97999999999999</v>
      </c>
      <c r="J27" t="s">
        <v>82</v>
      </c>
      <c r="K27" s="2" t="str">
        <f>TEXT(Table1[[#This Row],[Ship Date]],"dddd")</f>
        <v>Sunday</v>
      </c>
      <c r="L27" t="str">
        <f>TEXT(Table1[[#This Row],[Ship Date]],"mmmm")</f>
        <v>January</v>
      </c>
      <c r="M27" t="str">
        <f>TEXT(Table1[[#This Row],[Ship Date]],"yyyy")</f>
        <v>2024</v>
      </c>
    </row>
    <row r="28" spans="1:13" x14ac:dyDescent="0.3">
      <c r="A28">
        <v>1027</v>
      </c>
      <c r="B28" s="1">
        <v>45318</v>
      </c>
      <c r="C28" t="s">
        <v>34</v>
      </c>
      <c r="D28" s="1">
        <v>45320</v>
      </c>
      <c r="E28">
        <v>49.99</v>
      </c>
      <c r="F28">
        <v>3</v>
      </c>
      <c r="G28">
        <f t="shared" si="0"/>
        <v>149.97</v>
      </c>
      <c r="H28">
        <v>14.997</v>
      </c>
      <c r="I28">
        <f t="shared" si="1"/>
        <v>152.97</v>
      </c>
      <c r="J28" t="s">
        <v>83</v>
      </c>
      <c r="K28" s="2" t="str">
        <f>TEXT(Table1[[#This Row],[Ship Date]],"dddd")</f>
        <v>Monday</v>
      </c>
      <c r="L28" t="str">
        <f>TEXT(Table1[[#This Row],[Ship Date]],"mmmm")</f>
        <v>January</v>
      </c>
      <c r="M28" t="str">
        <f>TEXT(Table1[[#This Row],[Ship Date]],"yyyy")</f>
        <v>2024</v>
      </c>
    </row>
    <row r="29" spans="1:13" x14ac:dyDescent="0.3">
      <c r="A29">
        <v>1028</v>
      </c>
      <c r="B29" s="1">
        <v>45319</v>
      </c>
      <c r="C29" t="s">
        <v>35</v>
      </c>
      <c r="D29" s="1">
        <v>45321</v>
      </c>
      <c r="E29">
        <v>129.99</v>
      </c>
      <c r="F29">
        <v>1</v>
      </c>
      <c r="G29">
        <f t="shared" si="0"/>
        <v>129.99</v>
      </c>
      <c r="H29">
        <v>12.999000000000001</v>
      </c>
      <c r="I29">
        <f t="shared" si="1"/>
        <v>130.99</v>
      </c>
      <c r="J29" t="s">
        <v>84</v>
      </c>
      <c r="K29" s="2" t="str">
        <f>TEXT(Table1[[#This Row],[Ship Date]],"dddd")</f>
        <v>Tuesday</v>
      </c>
      <c r="L29" t="str">
        <f>TEXT(Table1[[#This Row],[Ship Date]],"mmmm")</f>
        <v>January</v>
      </c>
      <c r="M29" t="str">
        <f>TEXT(Table1[[#This Row],[Ship Date]],"yyyy")</f>
        <v>2024</v>
      </c>
    </row>
    <row r="30" spans="1:13" x14ac:dyDescent="0.3">
      <c r="A30">
        <v>1029</v>
      </c>
      <c r="B30" s="1">
        <v>45320</v>
      </c>
      <c r="C30" t="s">
        <v>36</v>
      </c>
      <c r="D30" s="1">
        <v>45322</v>
      </c>
      <c r="E30">
        <v>19.989999999999998</v>
      </c>
      <c r="F30">
        <v>4</v>
      </c>
      <c r="G30">
        <f t="shared" si="0"/>
        <v>79.959999999999994</v>
      </c>
      <c r="H30">
        <v>7.9960000000000004</v>
      </c>
      <c r="I30">
        <f t="shared" si="1"/>
        <v>83.96</v>
      </c>
      <c r="J30" t="s">
        <v>64</v>
      </c>
      <c r="K30" s="2" t="str">
        <f>TEXT(Table1[[#This Row],[Ship Date]],"dddd")</f>
        <v>Wednesday</v>
      </c>
      <c r="L30" t="str">
        <f>TEXT(Table1[[#This Row],[Ship Date]],"mmmm")</f>
        <v>January</v>
      </c>
      <c r="M30" t="str">
        <f>TEXT(Table1[[#This Row],[Ship Date]],"yyyy")</f>
        <v>2024</v>
      </c>
    </row>
    <row r="31" spans="1:13" x14ac:dyDescent="0.3">
      <c r="A31">
        <v>1030</v>
      </c>
      <c r="B31" s="1">
        <v>45321</v>
      </c>
      <c r="C31" t="s">
        <v>37</v>
      </c>
      <c r="D31" s="1">
        <v>45323</v>
      </c>
      <c r="E31">
        <v>149.99</v>
      </c>
      <c r="F31">
        <v>1</v>
      </c>
      <c r="G31">
        <f t="shared" si="0"/>
        <v>149.99</v>
      </c>
      <c r="H31">
        <v>14.999000000000001</v>
      </c>
      <c r="I31">
        <f t="shared" si="1"/>
        <v>150.99</v>
      </c>
      <c r="J31" t="s">
        <v>78</v>
      </c>
      <c r="K31" s="2" t="str">
        <f>TEXT(Table1[[#This Row],[Ship Date]],"dddd")</f>
        <v>Thursday</v>
      </c>
      <c r="L31" t="str">
        <f>TEXT(Table1[[#This Row],[Ship Date]],"mmmm")</f>
        <v>February</v>
      </c>
      <c r="M31" t="str">
        <f>TEXT(Table1[[#This Row],[Ship Date]],"yyyy")</f>
        <v>2024</v>
      </c>
    </row>
    <row r="32" spans="1:13" x14ac:dyDescent="0.3">
      <c r="A32">
        <v>1031</v>
      </c>
      <c r="B32" s="1">
        <v>45322</v>
      </c>
      <c r="C32" t="s">
        <v>38</v>
      </c>
      <c r="D32" s="1">
        <v>45324</v>
      </c>
      <c r="E32">
        <v>69.989999999999995</v>
      </c>
      <c r="F32">
        <v>2</v>
      </c>
      <c r="G32">
        <f t="shared" si="0"/>
        <v>139.97999999999999</v>
      </c>
      <c r="H32">
        <v>13.997999999999999</v>
      </c>
      <c r="I32">
        <f t="shared" si="1"/>
        <v>141.97999999999999</v>
      </c>
      <c r="J32" t="s">
        <v>75</v>
      </c>
      <c r="K32" s="2" t="str">
        <f>TEXT(Table1[[#This Row],[Ship Date]],"dddd")</f>
        <v>Friday</v>
      </c>
      <c r="L32" t="str">
        <f>TEXT(Table1[[#This Row],[Ship Date]],"mmmm")</f>
        <v>February</v>
      </c>
      <c r="M32" t="str">
        <f>TEXT(Table1[[#This Row],[Ship Date]],"yyyy")</f>
        <v>2024</v>
      </c>
    </row>
    <row r="33" spans="1:13" x14ac:dyDescent="0.3">
      <c r="A33">
        <v>1032</v>
      </c>
      <c r="B33" s="1">
        <v>45323</v>
      </c>
      <c r="C33" t="s">
        <v>39</v>
      </c>
      <c r="D33" s="1">
        <v>45325</v>
      </c>
      <c r="E33">
        <v>39.99</v>
      </c>
      <c r="F33">
        <v>3</v>
      </c>
      <c r="G33">
        <f t="shared" si="0"/>
        <v>119.97</v>
      </c>
      <c r="H33">
        <v>11.997</v>
      </c>
      <c r="I33">
        <f t="shared" si="1"/>
        <v>122.97</v>
      </c>
      <c r="J33" t="s">
        <v>85</v>
      </c>
      <c r="K33" s="2" t="str">
        <f>TEXT(Table1[[#This Row],[Ship Date]],"dddd")</f>
        <v>Saturday</v>
      </c>
      <c r="L33" t="str">
        <f>TEXT(Table1[[#This Row],[Ship Date]],"mmmm")</f>
        <v>February</v>
      </c>
      <c r="M33" t="str">
        <f>TEXT(Table1[[#This Row],[Ship Date]],"yyyy")</f>
        <v>2024</v>
      </c>
    </row>
    <row r="34" spans="1:13" x14ac:dyDescent="0.3">
      <c r="A34">
        <v>1033</v>
      </c>
      <c r="B34" s="1">
        <v>45324</v>
      </c>
      <c r="C34" t="s">
        <v>40</v>
      </c>
      <c r="D34" s="1">
        <v>45326</v>
      </c>
      <c r="E34">
        <v>199.99</v>
      </c>
      <c r="F34">
        <v>1</v>
      </c>
      <c r="G34">
        <f t="shared" si="0"/>
        <v>199.99</v>
      </c>
      <c r="H34">
        <v>19.998999999999999</v>
      </c>
      <c r="I34">
        <f t="shared" si="1"/>
        <v>200.99</v>
      </c>
      <c r="J34" t="s">
        <v>79</v>
      </c>
      <c r="K34" s="2" t="str">
        <f>TEXT(Table1[[#This Row],[Ship Date]],"dddd")</f>
        <v>Sunday</v>
      </c>
      <c r="L34" t="str">
        <f>TEXT(Table1[[#This Row],[Ship Date]],"mmmm")</f>
        <v>February</v>
      </c>
      <c r="M34" t="str">
        <f>TEXT(Table1[[#This Row],[Ship Date]],"yyyy")</f>
        <v>2024</v>
      </c>
    </row>
    <row r="35" spans="1:13" x14ac:dyDescent="0.3">
      <c r="A35">
        <v>1034</v>
      </c>
      <c r="B35" s="1">
        <v>45325</v>
      </c>
      <c r="C35" t="s">
        <v>41</v>
      </c>
      <c r="D35" s="1">
        <v>45327</v>
      </c>
      <c r="E35">
        <v>29.99</v>
      </c>
      <c r="F35">
        <v>5</v>
      </c>
      <c r="G35">
        <f t="shared" si="0"/>
        <v>149.94999999999999</v>
      </c>
      <c r="H35">
        <v>14.994999999999999</v>
      </c>
      <c r="I35">
        <f t="shared" si="1"/>
        <v>154.94999999999999</v>
      </c>
      <c r="J35" t="s">
        <v>86</v>
      </c>
      <c r="K35" s="2" t="str">
        <f>TEXT(Table1[[#This Row],[Ship Date]],"dddd")</f>
        <v>Monday</v>
      </c>
      <c r="L35" t="str">
        <f>TEXT(Table1[[#This Row],[Ship Date]],"mmmm")</f>
        <v>February</v>
      </c>
      <c r="M35" t="str">
        <f>TEXT(Table1[[#This Row],[Ship Date]],"yyyy")</f>
        <v>2024</v>
      </c>
    </row>
    <row r="36" spans="1:13" x14ac:dyDescent="0.3">
      <c r="A36">
        <v>1035</v>
      </c>
      <c r="B36" s="1">
        <v>45326</v>
      </c>
      <c r="C36" t="s">
        <v>42</v>
      </c>
      <c r="D36" s="1">
        <v>45328</v>
      </c>
      <c r="E36">
        <v>79.989999999999995</v>
      </c>
      <c r="F36">
        <v>2</v>
      </c>
      <c r="G36">
        <f t="shared" si="0"/>
        <v>159.97999999999999</v>
      </c>
      <c r="H36">
        <v>15.997999999999999</v>
      </c>
      <c r="I36">
        <f t="shared" si="1"/>
        <v>161.97999999999999</v>
      </c>
      <c r="J36" t="s">
        <v>87</v>
      </c>
      <c r="K36" s="2" t="str">
        <f>TEXT(Table1[[#This Row],[Ship Date]],"dddd")</f>
        <v>Tuesday</v>
      </c>
      <c r="L36" t="str">
        <f>TEXT(Table1[[#This Row],[Ship Date]],"mmmm")</f>
        <v>February</v>
      </c>
      <c r="M36" t="str">
        <f>TEXT(Table1[[#This Row],[Ship Date]],"yyyy")</f>
        <v>2024</v>
      </c>
    </row>
    <row r="37" spans="1:13" x14ac:dyDescent="0.3">
      <c r="A37">
        <v>1036</v>
      </c>
      <c r="B37" s="1">
        <v>45327</v>
      </c>
      <c r="C37" t="s">
        <v>43</v>
      </c>
      <c r="D37" s="1">
        <v>45329</v>
      </c>
      <c r="E37">
        <v>49.99</v>
      </c>
      <c r="F37">
        <v>3</v>
      </c>
      <c r="G37">
        <f t="shared" si="0"/>
        <v>149.97</v>
      </c>
      <c r="H37">
        <v>14.997</v>
      </c>
      <c r="I37">
        <f t="shared" si="1"/>
        <v>152.97</v>
      </c>
      <c r="J37" t="s">
        <v>88</v>
      </c>
      <c r="K37" s="2" t="str">
        <f>TEXT(Table1[[#This Row],[Ship Date]],"dddd")</f>
        <v>Wednesday</v>
      </c>
      <c r="L37" t="str">
        <f>TEXT(Table1[[#This Row],[Ship Date]],"mmmm")</f>
        <v>February</v>
      </c>
      <c r="M37" t="str">
        <f>TEXT(Table1[[#This Row],[Ship Date]],"yyyy")</f>
        <v>2024</v>
      </c>
    </row>
    <row r="38" spans="1:13" x14ac:dyDescent="0.3">
      <c r="A38">
        <v>1037</v>
      </c>
      <c r="B38" s="1">
        <v>45328</v>
      </c>
      <c r="C38" t="s">
        <v>44</v>
      </c>
      <c r="D38" s="1">
        <v>45330</v>
      </c>
      <c r="E38">
        <v>129.99</v>
      </c>
      <c r="F38">
        <v>1</v>
      </c>
      <c r="G38">
        <f t="shared" si="0"/>
        <v>129.99</v>
      </c>
      <c r="H38">
        <v>12.999000000000001</v>
      </c>
      <c r="I38">
        <f t="shared" si="1"/>
        <v>130.99</v>
      </c>
      <c r="J38" t="s">
        <v>62</v>
      </c>
      <c r="K38" s="2" t="str">
        <f>TEXT(Table1[[#This Row],[Ship Date]],"dddd")</f>
        <v>Thursday</v>
      </c>
      <c r="L38" t="str">
        <f>TEXT(Table1[[#This Row],[Ship Date]],"mmmm")</f>
        <v>February</v>
      </c>
      <c r="M38" t="str">
        <f>TEXT(Table1[[#This Row],[Ship Date]],"yyyy")</f>
        <v>2024</v>
      </c>
    </row>
    <row r="39" spans="1:13" x14ac:dyDescent="0.3">
      <c r="A39">
        <v>1038</v>
      </c>
      <c r="B39" s="1">
        <v>45329</v>
      </c>
      <c r="C39" t="s">
        <v>45</v>
      </c>
      <c r="D39" s="1">
        <v>45331</v>
      </c>
      <c r="E39">
        <v>19.989999999999998</v>
      </c>
      <c r="F39">
        <v>4</v>
      </c>
      <c r="G39">
        <f t="shared" si="0"/>
        <v>79.959999999999994</v>
      </c>
      <c r="H39">
        <v>7.9960000000000004</v>
      </c>
      <c r="I39">
        <f t="shared" si="1"/>
        <v>83.96</v>
      </c>
      <c r="J39" t="s">
        <v>63</v>
      </c>
      <c r="K39" s="2" t="str">
        <f>TEXT(Table1[[#This Row],[Ship Date]],"dddd")</f>
        <v>Friday</v>
      </c>
      <c r="L39" t="str">
        <f>TEXT(Table1[[#This Row],[Ship Date]],"mmmm")</f>
        <v>February</v>
      </c>
      <c r="M39" t="str">
        <f>TEXT(Table1[[#This Row],[Ship Date]],"yyyy")</f>
        <v>2024</v>
      </c>
    </row>
    <row r="40" spans="1:13" x14ac:dyDescent="0.3">
      <c r="A40">
        <v>1039</v>
      </c>
      <c r="B40" s="1">
        <v>45330</v>
      </c>
      <c r="C40" t="s">
        <v>46</v>
      </c>
      <c r="D40" s="1">
        <v>45332</v>
      </c>
      <c r="E40">
        <v>149.99</v>
      </c>
      <c r="F40">
        <v>1</v>
      </c>
      <c r="G40">
        <f t="shared" si="0"/>
        <v>149.99</v>
      </c>
      <c r="H40">
        <v>14.999000000000001</v>
      </c>
      <c r="I40">
        <f t="shared" si="1"/>
        <v>150.99</v>
      </c>
      <c r="J40" t="s">
        <v>64</v>
      </c>
      <c r="K40" s="2" t="str">
        <f>TEXT(Table1[[#This Row],[Ship Date]],"dddd")</f>
        <v>Saturday</v>
      </c>
      <c r="L40" t="str">
        <f>TEXT(Table1[[#This Row],[Ship Date]],"mmmm")</f>
        <v>February</v>
      </c>
      <c r="M40" t="str">
        <f>TEXT(Table1[[#This Row],[Ship Date]],"yyyy")</f>
        <v>2024</v>
      </c>
    </row>
    <row r="41" spans="1:13" x14ac:dyDescent="0.3">
      <c r="A41">
        <v>1040</v>
      </c>
      <c r="B41" s="1">
        <v>45331</v>
      </c>
      <c r="C41" t="s">
        <v>12</v>
      </c>
      <c r="D41" s="1">
        <v>45333</v>
      </c>
      <c r="E41">
        <v>69.989999999999995</v>
      </c>
      <c r="F41">
        <v>2</v>
      </c>
      <c r="G41">
        <f t="shared" si="0"/>
        <v>139.97999999999999</v>
      </c>
      <c r="H41">
        <v>13.997999999999999</v>
      </c>
      <c r="I41">
        <f t="shared" si="1"/>
        <v>141.97999999999999</v>
      </c>
      <c r="J41" t="s">
        <v>65</v>
      </c>
      <c r="K41" s="2" t="str">
        <f>TEXT(Table1[[#This Row],[Ship Date]],"dddd")</f>
        <v>Sunday</v>
      </c>
      <c r="L41" t="str">
        <f>TEXT(Table1[[#This Row],[Ship Date]],"mmmm")</f>
        <v>February</v>
      </c>
      <c r="M41" t="str">
        <f>TEXT(Table1[[#This Row],[Ship Date]],"yyyy")</f>
        <v>2024</v>
      </c>
    </row>
    <row r="42" spans="1:13" x14ac:dyDescent="0.3">
      <c r="A42">
        <v>1041</v>
      </c>
      <c r="B42" s="1">
        <v>45332</v>
      </c>
      <c r="C42" t="s">
        <v>47</v>
      </c>
      <c r="D42" s="1">
        <v>45334</v>
      </c>
      <c r="E42">
        <v>39.99</v>
      </c>
      <c r="F42">
        <v>3</v>
      </c>
      <c r="G42">
        <f t="shared" si="0"/>
        <v>119.97</v>
      </c>
      <c r="H42">
        <v>11.997</v>
      </c>
      <c r="I42">
        <f t="shared" si="1"/>
        <v>122.97</v>
      </c>
      <c r="J42" t="s">
        <v>66</v>
      </c>
      <c r="K42" s="2" t="str">
        <f>TEXT(Table1[[#This Row],[Ship Date]],"dddd")</f>
        <v>Monday</v>
      </c>
      <c r="L42" t="str">
        <f>TEXT(Table1[[#This Row],[Ship Date]],"mmmm")</f>
        <v>February</v>
      </c>
      <c r="M42" t="str">
        <f>TEXT(Table1[[#This Row],[Ship Date]],"yyyy")</f>
        <v>2024</v>
      </c>
    </row>
    <row r="43" spans="1:13" x14ac:dyDescent="0.3">
      <c r="A43">
        <v>1042</v>
      </c>
      <c r="B43" s="1">
        <v>45333</v>
      </c>
      <c r="C43" t="s">
        <v>28</v>
      </c>
      <c r="D43" s="1">
        <v>45335</v>
      </c>
      <c r="E43">
        <v>199.99</v>
      </c>
      <c r="F43">
        <v>1</v>
      </c>
      <c r="G43">
        <f t="shared" si="0"/>
        <v>199.99</v>
      </c>
      <c r="H43">
        <v>19.998999999999999</v>
      </c>
      <c r="I43">
        <f t="shared" si="1"/>
        <v>200.99</v>
      </c>
      <c r="J43" t="s">
        <v>67</v>
      </c>
      <c r="K43" s="2" t="str">
        <f>TEXT(Table1[[#This Row],[Ship Date]],"dddd")</f>
        <v>Tuesday</v>
      </c>
      <c r="L43" t="str">
        <f>TEXT(Table1[[#This Row],[Ship Date]],"mmmm")</f>
        <v>February</v>
      </c>
      <c r="M43" t="str">
        <f>TEXT(Table1[[#This Row],[Ship Date]],"yyyy")</f>
        <v>2024</v>
      </c>
    </row>
    <row r="44" spans="1:13" x14ac:dyDescent="0.3">
      <c r="A44">
        <v>1043</v>
      </c>
      <c r="B44" s="1">
        <v>45334</v>
      </c>
      <c r="C44" t="s">
        <v>48</v>
      </c>
      <c r="D44" s="1">
        <v>45336</v>
      </c>
      <c r="E44">
        <v>29.99</v>
      </c>
      <c r="F44">
        <v>5</v>
      </c>
      <c r="G44">
        <f t="shared" si="0"/>
        <v>149.94999999999999</v>
      </c>
      <c r="H44">
        <v>14.994999999999999</v>
      </c>
      <c r="I44">
        <f t="shared" si="1"/>
        <v>154.94999999999999</v>
      </c>
      <c r="J44" t="s">
        <v>68</v>
      </c>
      <c r="K44" s="2" t="str">
        <f>TEXT(Table1[[#This Row],[Ship Date]],"dddd")</f>
        <v>Wednesday</v>
      </c>
      <c r="L44" t="str">
        <f>TEXT(Table1[[#This Row],[Ship Date]],"mmmm")</f>
        <v>February</v>
      </c>
      <c r="M44" t="str">
        <f>TEXT(Table1[[#This Row],[Ship Date]],"yyyy")</f>
        <v>2024</v>
      </c>
    </row>
    <row r="45" spans="1:13" x14ac:dyDescent="0.3">
      <c r="A45">
        <v>1044</v>
      </c>
      <c r="B45" s="1">
        <v>45335</v>
      </c>
      <c r="C45" t="s">
        <v>49</v>
      </c>
      <c r="D45" s="1">
        <v>45337</v>
      </c>
      <c r="E45">
        <v>79.989999999999995</v>
      </c>
      <c r="F45">
        <v>2</v>
      </c>
      <c r="G45">
        <f t="shared" si="0"/>
        <v>159.97999999999999</v>
      </c>
      <c r="H45">
        <v>15.997999999999999</v>
      </c>
      <c r="I45">
        <f t="shared" si="1"/>
        <v>161.97999999999999</v>
      </c>
      <c r="J45" t="s">
        <v>62</v>
      </c>
      <c r="K45" s="2" t="str">
        <f>TEXT(Table1[[#This Row],[Ship Date]],"dddd")</f>
        <v>Thursday</v>
      </c>
      <c r="L45" t="str">
        <f>TEXT(Table1[[#This Row],[Ship Date]],"mmmm")</f>
        <v>February</v>
      </c>
      <c r="M45" t="str">
        <f>TEXT(Table1[[#This Row],[Ship Date]],"yyyy")</f>
        <v>2024</v>
      </c>
    </row>
    <row r="46" spans="1:13" x14ac:dyDescent="0.3">
      <c r="A46">
        <v>1045</v>
      </c>
      <c r="B46" s="1">
        <v>45336</v>
      </c>
      <c r="C46" t="s">
        <v>44</v>
      </c>
      <c r="D46" s="1">
        <v>45338</v>
      </c>
      <c r="E46">
        <v>49.99</v>
      </c>
      <c r="F46">
        <v>3</v>
      </c>
      <c r="G46">
        <f t="shared" si="0"/>
        <v>149.97</v>
      </c>
      <c r="H46">
        <v>14.997</v>
      </c>
      <c r="I46">
        <f t="shared" si="1"/>
        <v>152.97</v>
      </c>
      <c r="J46" t="s">
        <v>63</v>
      </c>
      <c r="K46" s="2" t="str">
        <f>TEXT(Table1[[#This Row],[Ship Date]],"dddd")</f>
        <v>Friday</v>
      </c>
      <c r="L46" t="str">
        <f>TEXT(Table1[[#This Row],[Ship Date]],"mmmm")</f>
        <v>February</v>
      </c>
      <c r="M46" t="str">
        <f>TEXT(Table1[[#This Row],[Ship Date]],"yyyy")</f>
        <v>2024</v>
      </c>
    </row>
    <row r="47" spans="1:13" x14ac:dyDescent="0.3">
      <c r="A47">
        <v>1046</v>
      </c>
      <c r="B47" s="1">
        <v>45337</v>
      </c>
      <c r="C47" t="s">
        <v>50</v>
      </c>
      <c r="D47" s="1">
        <v>45339</v>
      </c>
      <c r="E47">
        <v>199.99</v>
      </c>
      <c r="F47">
        <v>1</v>
      </c>
      <c r="G47">
        <f t="shared" si="0"/>
        <v>199.99</v>
      </c>
      <c r="H47">
        <v>19.998999999999999</v>
      </c>
      <c r="I47">
        <f t="shared" si="1"/>
        <v>200.99</v>
      </c>
      <c r="J47" t="s">
        <v>69</v>
      </c>
      <c r="K47" s="2" t="str">
        <f>TEXT(Table1[[#This Row],[Ship Date]],"dddd")</f>
        <v>Saturday</v>
      </c>
      <c r="L47" t="str">
        <f>TEXT(Table1[[#This Row],[Ship Date]],"mmmm")</f>
        <v>February</v>
      </c>
      <c r="M47" t="str">
        <f>TEXT(Table1[[#This Row],[Ship Date]],"yyyy")</f>
        <v>2024</v>
      </c>
    </row>
    <row r="48" spans="1:13" x14ac:dyDescent="0.3">
      <c r="A48">
        <v>1047</v>
      </c>
      <c r="B48" s="1">
        <v>45338</v>
      </c>
      <c r="C48" t="s">
        <v>51</v>
      </c>
      <c r="D48" s="1">
        <v>45340</v>
      </c>
      <c r="E48">
        <v>29.99</v>
      </c>
      <c r="F48">
        <v>4</v>
      </c>
      <c r="G48">
        <f t="shared" si="0"/>
        <v>119.96</v>
      </c>
      <c r="H48">
        <v>11.996</v>
      </c>
      <c r="I48">
        <f t="shared" si="1"/>
        <v>123.96</v>
      </c>
      <c r="J48" t="s">
        <v>70</v>
      </c>
      <c r="K48" s="2" t="str">
        <f>TEXT(Table1[[#This Row],[Ship Date]],"dddd")</f>
        <v>Sunday</v>
      </c>
      <c r="L48" t="str">
        <f>TEXT(Table1[[#This Row],[Ship Date]],"mmmm")</f>
        <v>February</v>
      </c>
      <c r="M48" t="str">
        <f>TEXT(Table1[[#This Row],[Ship Date]],"yyyy")</f>
        <v>2024</v>
      </c>
    </row>
    <row r="49" spans="1:13" x14ac:dyDescent="0.3">
      <c r="A49">
        <v>1048</v>
      </c>
      <c r="B49" s="1">
        <v>45339</v>
      </c>
      <c r="C49" t="s">
        <v>47</v>
      </c>
      <c r="D49" s="1">
        <v>45341</v>
      </c>
      <c r="E49">
        <v>79.989999999999995</v>
      </c>
      <c r="F49">
        <v>1</v>
      </c>
      <c r="G49">
        <f t="shared" si="0"/>
        <v>79.989999999999995</v>
      </c>
      <c r="H49">
        <v>7.9989999999999997</v>
      </c>
      <c r="I49">
        <f t="shared" si="1"/>
        <v>80.989999999999995</v>
      </c>
      <c r="J49" t="s">
        <v>71</v>
      </c>
      <c r="K49" s="2" t="str">
        <f>TEXT(Table1[[#This Row],[Ship Date]],"dddd")</f>
        <v>Monday</v>
      </c>
      <c r="L49" t="str">
        <f>TEXT(Table1[[#This Row],[Ship Date]],"mmmm")</f>
        <v>February</v>
      </c>
      <c r="M49" t="str">
        <f>TEXT(Table1[[#This Row],[Ship Date]],"yyyy")</f>
        <v>2024</v>
      </c>
    </row>
    <row r="50" spans="1:13" x14ac:dyDescent="0.3">
      <c r="A50">
        <v>1049</v>
      </c>
      <c r="B50" s="1">
        <v>45340</v>
      </c>
      <c r="C50" t="s">
        <v>28</v>
      </c>
      <c r="D50" s="1">
        <v>45342</v>
      </c>
      <c r="E50">
        <v>49.99</v>
      </c>
      <c r="F50">
        <v>2</v>
      </c>
      <c r="G50">
        <f t="shared" si="0"/>
        <v>99.98</v>
      </c>
      <c r="H50">
        <v>9.9979999999999993</v>
      </c>
      <c r="I50">
        <f t="shared" si="1"/>
        <v>101.98</v>
      </c>
      <c r="J50" t="s">
        <v>66</v>
      </c>
      <c r="K50" s="2" t="str">
        <f>TEXT(Table1[[#This Row],[Ship Date]],"dddd")</f>
        <v>Tuesday</v>
      </c>
      <c r="L50" t="str">
        <f>TEXT(Table1[[#This Row],[Ship Date]],"mmmm")</f>
        <v>February</v>
      </c>
      <c r="M50" t="str">
        <f>TEXT(Table1[[#This Row],[Ship Date]],"yyyy")</f>
        <v>2024</v>
      </c>
    </row>
    <row r="51" spans="1:13" x14ac:dyDescent="0.3">
      <c r="A51">
        <v>1050</v>
      </c>
      <c r="B51" s="1">
        <v>45341</v>
      </c>
      <c r="C51" t="s">
        <v>52</v>
      </c>
      <c r="D51" s="1">
        <v>45343</v>
      </c>
      <c r="E51">
        <v>129.99</v>
      </c>
      <c r="F51">
        <v>3</v>
      </c>
      <c r="G51">
        <f t="shared" si="0"/>
        <v>389.97</v>
      </c>
      <c r="H51">
        <v>38.997</v>
      </c>
      <c r="I51">
        <f t="shared" si="1"/>
        <v>392.97</v>
      </c>
      <c r="J51" t="s">
        <v>72</v>
      </c>
      <c r="K51" s="2" t="str">
        <f>TEXT(Table1[[#This Row],[Ship Date]],"dddd")</f>
        <v>Wednesday</v>
      </c>
      <c r="L51" t="str">
        <f>TEXT(Table1[[#This Row],[Ship Date]],"mmmm")</f>
        <v>February</v>
      </c>
      <c r="M51" t="str">
        <f>TEXT(Table1[[#This Row],[Ship Date]],"yyyy")</f>
        <v>2024</v>
      </c>
    </row>
    <row r="52" spans="1:13" x14ac:dyDescent="0.3">
      <c r="A52">
        <v>1051</v>
      </c>
      <c r="B52" s="1">
        <v>45342</v>
      </c>
      <c r="C52" t="s">
        <v>49</v>
      </c>
      <c r="D52" s="1">
        <v>45344</v>
      </c>
      <c r="E52">
        <v>19.989999999999998</v>
      </c>
      <c r="F52">
        <v>1</v>
      </c>
      <c r="G52">
        <f t="shared" si="0"/>
        <v>19.989999999999998</v>
      </c>
      <c r="H52">
        <v>1.9990000000000001</v>
      </c>
      <c r="I52">
        <f t="shared" si="1"/>
        <v>20.99</v>
      </c>
      <c r="J52" t="s">
        <v>74</v>
      </c>
      <c r="K52" s="2" t="str">
        <f>TEXT(Table1[[#This Row],[Ship Date]],"dddd")</f>
        <v>Thursday</v>
      </c>
      <c r="L52" t="str">
        <f>TEXT(Table1[[#This Row],[Ship Date]],"mmmm")</f>
        <v>February</v>
      </c>
      <c r="M52" t="str">
        <f>TEXT(Table1[[#This Row],[Ship Date]],"yyyy")</f>
        <v>2024</v>
      </c>
    </row>
    <row r="53" spans="1:13" x14ac:dyDescent="0.3">
      <c r="A53">
        <v>1052</v>
      </c>
      <c r="B53" s="1">
        <v>45343</v>
      </c>
      <c r="C53" t="s">
        <v>53</v>
      </c>
      <c r="D53" s="1">
        <v>45345</v>
      </c>
      <c r="E53">
        <v>149.99</v>
      </c>
      <c r="F53">
        <v>4</v>
      </c>
      <c r="G53">
        <f t="shared" si="0"/>
        <v>599.96</v>
      </c>
      <c r="H53">
        <v>59.996000000000002</v>
      </c>
      <c r="I53">
        <f t="shared" si="1"/>
        <v>603.96</v>
      </c>
      <c r="J53" t="s">
        <v>73</v>
      </c>
      <c r="K53" s="2" t="str">
        <f>TEXT(Table1[[#This Row],[Ship Date]],"dddd")</f>
        <v>Friday</v>
      </c>
      <c r="L53" t="str">
        <f>TEXT(Table1[[#This Row],[Ship Date]],"mmmm")</f>
        <v>February</v>
      </c>
      <c r="M53" t="str">
        <f>TEXT(Table1[[#This Row],[Ship Date]],"yyyy")</f>
        <v>2024</v>
      </c>
    </row>
    <row r="54" spans="1:13" x14ac:dyDescent="0.3">
      <c r="A54">
        <v>1053</v>
      </c>
      <c r="B54" s="1">
        <v>45344</v>
      </c>
      <c r="C54" t="s">
        <v>50</v>
      </c>
      <c r="D54" s="1">
        <v>45346</v>
      </c>
      <c r="E54">
        <v>69.989999999999995</v>
      </c>
      <c r="F54">
        <v>1</v>
      </c>
      <c r="G54">
        <f t="shared" si="0"/>
        <v>69.989999999999995</v>
      </c>
      <c r="H54">
        <v>6.9989999999999997</v>
      </c>
      <c r="I54">
        <f t="shared" si="1"/>
        <v>70.989999999999995</v>
      </c>
      <c r="J54" t="s">
        <v>75</v>
      </c>
      <c r="K54" s="2" t="str">
        <f>TEXT(Table1[[#This Row],[Ship Date]],"dddd")</f>
        <v>Saturday</v>
      </c>
      <c r="L54" t="str">
        <f>TEXT(Table1[[#This Row],[Ship Date]],"mmmm")</f>
        <v>February</v>
      </c>
      <c r="M54" t="str">
        <f>TEXT(Table1[[#This Row],[Ship Date]],"yyyy")</f>
        <v>2024</v>
      </c>
    </row>
    <row r="55" spans="1:13" x14ac:dyDescent="0.3">
      <c r="A55">
        <v>1054</v>
      </c>
      <c r="B55" s="1">
        <v>45345</v>
      </c>
      <c r="C55" t="s">
        <v>54</v>
      </c>
      <c r="D55" s="1">
        <v>45347</v>
      </c>
      <c r="E55">
        <v>39.99</v>
      </c>
      <c r="F55">
        <v>3</v>
      </c>
      <c r="G55">
        <f t="shared" si="0"/>
        <v>119.97</v>
      </c>
      <c r="H55">
        <v>11.997</v>
      </c>
      <c r="I55">
        <f t="shared" si="1"/>
        <v>122.97</v>
      </c>
      <c r="J55" t="s">
        <v>76</v>
      </c>
      <c r="K55" s="2" t="str">
        <f>TEXT(Table1[[#This Row],[Ship Date]],"dddd")</f>
        <v>Sunday</v>
      </c>
      <c r="L55" t="str">
        <f>TEXT(Table1[[#This Row],[Ship Date]],"mmmm")</f>
        <v>February</v>
      </c>
      <c r="M55" t="str">
        <f>TEXT(Table1[[#This Row],[Ship Date]],"yyyy")</f>
        <v>2024</v>
      </c>
    </row>
    <row r="56" spans="1:13" x14ac:dyDescent="0.3">
      <c r="A56">
        <v>1055</v>
      </c>
      <c r="B56" s="1">
        <v>45346</v>
      </c>
      <c r="C56" t="s">
        <v>55</v>
      </c>
      <c r="D56" s="1">
        <v>45348</v>
      </c>
      <c r="E56">
        <v>199.99</v>
      </c>
      <c r="F56">
        <v>1</v>
      </c>
      <c r="G56">
        <f t="shared" si="0"/>
        <v>199.99</v>
      </c>
      <c r="H56">
        <v>19.998999999999999</v>
      </c>
      <c r="I56">
        <f t="shared" si="1"/>
        <v>200.99</v>
      </c>
      <c r="J56" t="s">
        <v>77</v>
      </c>
      <c r="K56" s="2" t="str">
        <f>TEXT(Table1[[#This Row],[Ship Date]],"dddd")</f>
        <v>Monday</v>
      </c>
      <c r="L56" t="str">
        <f>TEXT(Table1[[#This Row],[Ship Date]],"mmmm")</f>
        <v>February</v>
      </c>
      <c r="M56" t="str">
        <f>TEXT(Table1[[#This Row],[Ship Date]],"yyyy")</f>
        <v>2024</v>
      </c>
    </row>
    <row r="57" spans="1:13" x14ac:dyDescent="0.3">
      <c r="A57">
        <v>1056</v>
      </c>
      <c r="B57" s="1">
        <v>45347</v>
      </c>
      <c r="C57" t="s">
        <v>44</v>
      </c>
      <c r="D57" s="1">
        <v>45349</v>
      </c>
      <c r="E57">
        <v>29.99</v>
      </c>
      <c r="F57">
        <v>5</v>
      </c>
      <c r="G57">
        <f t="shared" si="0"/>
        <v>149.94999999999999</v>
      </c>
      <c r="H57">
        <v>14.994999999999999</v>
      </c>
      <c r="I57">
        <f t="shared" si="1"/>
        <v>154.94999999999999</v>
      </c>
      <c r="J57" t="s">
        <v>78</v>
      </c>
      <c r="K57" s="2" t="str">
        <f>TEXT(Table1[[#This Row],[Ship Date]],"dddd")</f>
        <v>Tuesday</v>
      </c>
      <c r="L57" t="str">
        <f>TEXT(Table1[[#This Row],[Ship Date]],"mmmm")</f>
        <v>February</v>
      </c>
      <c r="M57" t="str">
        <f>TEXT(Table1[[#This Row],[Ship Date]],"yyyy")</f>
        <v>2024</v>
      </c>
    </row>
    <row r="58" spans="1:13" x14ac:dyDescent="0.3">
      <c r="A58">
        <v>1057</v>
      </c>
      <c r="B58" s="1">
        <v>45348</v>
      </c>
      <c r="C58" t="s">
        <v>45</v>
      </c>
      <c r="D58" s="1">
        <v>45350</v>
      </c>
      <c r="E58">
        <v>79.989999999999995</v>
      </c>
      <c r="F58">
        <v>2</v>
      </c>
      <c r="G58">
        <f t="shared" si="0"/>
        <v>159.97999999999999</v>
      </c>
      <c r="H58">
        <v>15.997999999999999</v>
      </c>
      <c r="I58">
        <f t="shared" si="1"/>
        <v>161.97999999999999</v>
      </c>
      <c r="J58" t="s">
        <v>79</v>
      </c>
      <c r="K58" s="2" t="str">
        <f>TEXT(Table1[[#This Row],[Ship Date]],"dddd")</f>
        <v>Wednesday</v>
      </c>
      <c r="L58" t="str">
        <f>TEXT(Table1[[#This Row],[Ship Date]],"mmmm")</f>
        <v>February</v>
      </c>
      <c r="M58" t="str">
        <f>TEXT(Table1[[#This Row],[Ship Date]],"yyyy")</f>
        <v>2024</v>
      </c>
    </row>
    <row r="59" spans="1:13" x14ac:dyDescent="0.3">
      <c r="A59">
        <v>1058</v>
      </c>
      <c r="B59" s="1">
        <v>45349</v>
      </c>
      <c r="C59" t="s">
        <v>46</v>
      </c>
      <c r="D59" s="1">
        <v>45351</v>
      </c>
      <c r="E59">
        <v>49.99</v>
      </c>
      <c r="F59">
        <v>3</v>
      </c>
      <c r="G59">
        <f t="shared" si="0"/>
        <v>149.97</v>
      </c>
      <c r="H59">
        <v>14.997</v>
      </c>
      <c r="I59">
        <f t="shared" si="1"/>
        <v>152.97</v>
      </c>
      <c r="J59" t="s">
        <v>62</v>
      </c>
      <c r="K59" s="2" t="str">
        <f>TEXT(Table1[[#This Row],[Ship Date]],"dddd")</f>
        <v>Thursday</v>
      </c>
      <c r="L59" t="str">
        <f>TEXT(Table1[[#This Row],[Ship Date]],"mmmm")</f>
        <v>February</v>
      </c>
      <c r="M59" t="str">
        <f>TEXT(Table1[[#This Row],[Ship Date]],"yyyy")</f>
        <v>2024</v>
      </c>
    </row>
    <row r="60" spans="1:13" x14ac:dyDescent="0.3">
      <c r="A60">
        <v>1059</v>
      </c>
      <c r="B60" s="1">
        <v>45350</v>
      </c>
      <c r="C60" t="s">
        <v>56</v>
      </c>
      <c r="D60" s="1">
        <v>45352</v>
      </c>
      <c r="E60">
        <v>129.99</v>
      </c>
      <c r="F60">
        <v>1</v>
      </c>
      <c r="G60">
        <f t="shared" si="0"/>
        <v>129.99</v>
      </c>
      <c r="H60">
        <v>12.999000000000001</v>
      </c>
      <c r="I60">
        <f t="shared" si="1"/>
        <v>130.99</v>
      </c>
      <c r="J60" t="s">
        <v>62</v>
      </c>
      <c r="K60" s="2" t="str">
        <f>TEXT(Table1[[#This Row],[Ship Date]],"dddd")</f>
        <v>Friday</v>
      </c>
      <c r="L60" t="str">
        <f>TEXT(Table1[[#This Row],[Ship Date]],"mmmm")</f>
        <v>March</v>
      </c>
      <c r="M60" t="str">
        <f>TEXT(Table1[[#This Row],[Ship Date]],"yyyy")</f>
        <v>2024</v>
      </c>
    </row>
    <row r="61" spans="1:13" x14ac:dyDescent="0.3">
      <c r="A61">
        <v>1060</v>
      </c>
      <c r="B61" s="1">
        <v>45351</v>
      </c>
      <c r="C61" t="s">
        <v>57</v>
      </c>
      <c r="D61" s="1">
        <v>45353</v>
      </c>
      <c r="E61">
        <v>69.989999999999995</v>
      </c>
      <c r="F61">
        <v>4</v>
      </c>
      <c r="G61">
        <f t="shared" si="0"/>
        <v>279.95999999999998</v>
      </c>
      <c r="H61">
        <v>27.995999999999999</v>
      </c>
      <c r="I61">
        <f t="shared" si="1"/>
        <v>283.95999999999998</v>
      </c>
      <c r="J61" t="s">
        <v>80</v>
      </c>
      <c r="K61" s="2" t="str">
        <f>TEXT(Table1[[#This Row],[Ship Date]],"dddd")</f>
        <v>Saturday</v>
      </c>
      <c r="L61" t="str">
        <f>TEXT(Table1[[#This Row],[Ship Date]],"mmmm")</f>
        <v>March</v>
      </c>
      <c r="M61" t="str">
        <f>TEXT(Table1[[#This Row],[Ship Date]],"yyyy")</f>
        <v>2024</v>
      </c>
    </row>
    <row r="62" spans="1:13" x14ac:dyDescent="0.3">
      <c r="A62">
        <v>1061</v>
      </c>
      <c r="B62" s="1">
        <v>45352</v>
      </c>
      <c r="C62" t="s">
        <v>28</v>
      </c>
      <c r="D62" s="1">
        <v>45354</v>
      </c>
      <c r="E62">
        <v>39.99</v>
      </c>
      <c r="F62">
        <v>1</v>
      </c>
      <c r="G62">
        <f t="shared" si="0"/>
        <v>39.99</v>
      </c>
      <c r="H62">
        <v>3.9990000000000001</v>
      </c>
      <c r="I62">
        <f t="shared" si="1"/>
        <v>40.99</v>
      </c>
      <c r="J62" t="s">
        <v>81</v>
      </c>
      <c r="K62" s="2" t="str">
        <f>TEXT(Table1[[#This Row],[Ship Date]],"dddd")</f>
        <v>Sunday</v>
      </c>
      <c r="L62" t="str">
        <f>TEXT(Table1[[#This Row],[Ship Date]],"mmmm")</f>
        <v>March</v>
      </c>
      <c r="M62" t="str">
        <f>TEXT(Table1[[#This Row],[Ship Date]],"yyyy")</f>
        <v>2024</v>
      </c>
    </row>
    <row r="63" spans="1:13" x14ac:dyDescent="0.3">
      <c r="A63">
        <v>1062</v>
      </c>
      <c r="B63" s="1">
        <v>45353</v>
      </c>
      <c r="C63" t="s">
        <v>48</v>
      </c>
      <c r="D63" s="1">
        <v>45355</v>
      </c>
      <c r="E63">
        <v>199.99</v>
      </c>
      <c r="F63">
        <v>2</v>
      </c>
      <c r="G63">
        <f t="shared" si="0"/>
        <v>399.98</v>
      </c>
      <c r="H63">
        <v>39.997999999999998</v>
      </c>
      <c r="I63">
        <f t="shared" si="1"/>
        <v>401.98</v>
      </c>
      <c r="J63" t="s">
        <v>82</v>
      </c>
      <c r="K63" s="2" t="str">
        <f>TEXT(Table1[[#This Row],[Ship Date]],"dddd")</f>
        <v>Monday</v>
      </c>
      <c r="L63" t="str">
        <f>TEXT(Table1[[#This Row],[Ship Date]],"mmmm")</f>
        <v>March</v>
      </c>
      <c r="M63" t="str">
        <f>TEXT(Table1[[#This Row],[Ship Date]],"yyyy")</f>
        <v>2024</v>
      </c>
    </row>
    <row r="64" spans="1:13" x14ac:dyDescent="0.3">
      <c r="A64">
        <v>1063</v>
      </c>
      <c r="B64" s="1">
        <v>45354</v>
      </c>
      <c r="C64" t="s">
        <v>43</v>
      </c>
      <c r="D64" s="1">
        <v>45356</v>
      </c>
      <c r="E64">
        <v>29.99</v>
      </c>
      <c r="F64">
        <v>3</v>
      </c>
      <c r="G64">
        <f t="shared" si="0"/>
        <v>89.97</v>
      </c>
      <c r="H64">
        <v>8.9969999999999999</v>
      </c>
      <c r="I64">
        <f t="shared" si="1"/>
        <v>92.97</v>
      </c>
      <c r="J64" t="s">
        <v>83</v>
      </c>
      <c r="K64" s="2" t="str">
        <f>TEXT(Table1[[#This Row],[Ship Date]],"dddd")</f>
        <v>Tuesday</v>
      </c>
      <c r="L64" t="str">
        <f>TEXT(Table1[[#This Row],[Ship Date]],"mmmm")</f>
        <v>March</v>
      </c>
      <c r="M64" t="str">
        <f>TEXT(Table1[[#This Row],[Ship Date]],"yyyy")</f>
        <v>2024</v>
      </c>
    </row>
    <row r="65" spans="1:13" x14ac:dyDescent="0.3">
      <c r="A65">
        <v>1064</v>
      </c>
      <c r="B65" s="1">
        <v>45355</v>
      </c>
      <c r="C65" t="s">
        <v>44</v>
      </c>
      <c r="D65" s="1">
        <v>45357</v>
      </c>
      <c r="E65">
        <v>79.989999999999995</v>
      </c>
      <c r="F65">
        <v>5</v>
      </c>
      <c r="G65">
        <f t="shared" si="0"/>
        <v>399.95</v>
      </c>
      <c r="H65">
        <v>39.994999999999997</v>
      </c>
      <c r="I65">
        <f t="shared" si="1"/>
        <v>404.95</v>
      </c>
      <c r="J65" t="s">
        <v>84</v>
      </c>
      <c r="K65" s="2" t="str">
        <f>TEXT(Table1[[#This Row],[Ship Date]],"dddd")</f>
        <v>Wednesday</v>
      </c>
      <c r="L65" t="str">
        <f>TEXT(Table1[[#This Row],[Ship Date]],"mmmm")</f>
        <v>March</v>
      </c>
      <c r="M65" t="str">
        <f>TEXT(Table1[[#This Row],[Ship Date]],"yyyy")</f>
        <v>2024</v>
      </c>
    </row>
    <row r="66" spans="1:13" x14ac:dyDescent="0.3">
      <c r="A66">
        <v>1065</v>
      </c>
      <c r="B66" s="1">
        <v>45356</v>
      </c>
      <c r="C66" t="s">
        <v>50</v>
      </c>
      <c r="D66" s="1">
        <v>45358</v>
      </c>
      <c r="E66">
        <v>129.99</v>
      </c>
      <c r="F66">
        <v>1</v>
      </c>
      <c r="G66">
        <f t="shared" si="0"/>
        <v>129.99</v>
      </c>
      <c r="H66">
        <v>12.999000000000001</v>
      </c>
      <c r="I66">
        <f t="shared" si="1"/>
        <v>130.99</v>
      </c>
      <c r="J66" t="s">
        <v>64</v>
      </c>
      <c r="K66" s="2" t="str">
        <f>TEXT(Table1[[#This Row],[Ship Date]],"dddd")</f>
        <v>Thursday</v>
      </c>
      <c r="L66" t="str">
        <f>TEXT(Table1[[#This Row],[Ship Date]],"mmmm")</f>
        <v>March</v>
      </c>
      <c r="M66" t="str">
        <f>TEXT(Table1[[#This Row],[Ship Date]],"yyyy")</f>
        <v>2024</v>
      </c>
    </row>
    <row r="67" spans="1:13" x14ac:dyDescent="0.3">
      <c r="A67">
        <v>1066</v>
      </c>
      <c r="B67" s="1">
        <v>45357</v>
      </c>
      <c r="C67" t="s">
        <v>58</v>
      </c>
      <c r="D67" s="1">
        <v>45359</v>
      </c>
      <c r="E67">
        <v>19.989999999999998</v>
      </c>
      <c r="F67">
        <v>4</v>
      </c>
      <c r="G67">
        <f t="shared" ref="G67:G71" si="2">E67*F67</f>
        <v>79.959999999999994</v>
      </c>
      <c r="H67">
        <v>7.9960000000000004</v>
      </c>
      <c r="I67">
        <f t="shared" ref="I67:I71" si="3">SUM(G67,F67)</f>
        <v>83.96</v>
      </c>
      <c r="J67" t="s">
        <v>78</v>
      </c>
      <c r="K67" s="2" t="str">
        <f>TEXT(Table1[[#This Row],[Ship Date]],"dddd")</f>
        <v>Friday</v>
      </c>
      <c r="L67" t="str">
        <f>TEXT(Table1[[#This Row],[Ship Date]],"mmmm")</f>
        <v>March</v>
      </c>
      <c r="M67" t="str">
        <f>TEXT(Table1[[#This Row],[Ship Date]],"yyyy")</f>
        <v>2024</v>
      </c>
    </row>
    <row r="68" spans="1:13" x14ac:dyDescent="0.3">
      <c r="A68">
        <v>1067</v>
      </c>
      <c r="B68" s="1">
        <v>45358</v>
      </c>
      <c r="C68" t="s">
        <v>50</v>
      </c>
      <c r="D68" s="1">
        <v>45360</v>
      </c>
      <c r="E68">
        <v>149.99</v>
      </c>
      <c r="F68">
        <v>2</v>
      </c>
      <c r="G68">
        <f t="shared" si="2"/>
        <v>299.98</v>
      </c>
      <c r="H68">
        <v>29.998000000000001</v>
      </c>
      <c r="I68">
        <f t="shared" si="3"/>
        <v>301.98</v>
      </c>
      <c r="J68" t="s">
        <v>75</v>
      </c>
      <c r="K68" s="2" t="str">
        <f>TEXT(Table1[[#This Row],[Ship Date]],"dddd")</f>
        <v>Saturday</v>
      </c>
      <c r="L68" t="str">
        <f>TEXT(Table1[[#This Row],[Ship Date]],"mmmm")</f>
        <v>March</v>
      </c>
      <c r="M68" t="str">
        <f>TEXT(Table1[[#This Row],[Ship Date]],"yyyy")</f>
        <v>2024</v>
      </c>
    </row>
    <row r="69" spans="1:13" x14ac:dyDescent="0.3">
      <c r="A69">
        <v>1068</v>
      </c>
      <c r="B69" s="1">
        <v>45359</v>
      </c>
      <c r="C69" t="s">
        <v>56</v>
      </c>
      <c r="D69" s="1">
        <v>45361</v>
      </c>
      <c r="E69">
        <v>39.99</v>
      </c>
      <c r="F69">
        <v>3</v>
      </c>
      <c r="G69">
        <f t="shared" si="2"/>
        <v>119.97</v>
      </c>
      <c r="H69">
        <v>11.997</v>
      </c>
      <c r="I69">
        <f t="shared" si="3"/>
        <v>122.97</v>
      </c>
      <c r="J69" t="s">
        <v>85</v>
      </c>
      <c r="K69" s="2" t="str">
        <f>TEXT(Table1[[#This Row],[Ship Date]],"dddd")</f>
        <v>Sunday</v>
      </c>
      <c r="L69" t="str">
        <f>TEXT(Table1[[#This Row],[Ship Date]],"mmmm")</f>
        <v>March</v>
      </c>
      <c r="M69" t="str">
        <f>TEXT(Table1[[#This Row],[Ship Date]],"yyyy")</f>
        <v>2024</v>
      </c>
    </row>
    <row r="70" spans="1:13" x14ac:dyDescent="0.3">
      <c r="A70">
        <v>1069</v>
      </c>
      <c r="B70" s="1">
        <v>45360</v>
      </c>
      <c r="C70" t="s">
        <v>59</v>
      </c>
      <c r="D70" s="1">
        <v>45362</v>
      </c>
      <c r="E70">
        <v>199.99</v>
      </c>
      <c r="F70">
        <v>1</v>
      </c>
      <c r="G70">
        <f t="shared" si="2"/>
        <v>199.99</v>
      </c>
      <c r="H70">
        <v>19.998999999999999</v>
      </c>
      <c r="I70">
        <f t="shared" si="3"/>
        <v>200.99</v>
      </c>
      <c r="J70" t="s">
        <v>79</v>
      </c>
      <c r="K70" s="2" t="str">
        <f>TEXT(Table1[[#This Row],[Ship Date]],"dddd")</f>
        <v>Monday</v>
      </c>
      <c r="L70" t="str">
        <f>TEXT(Table1[[#This Row],[Ship Date]],"mmmm")</f>
        <v>March</v>
      </c>
      <c r="M70" t="str">
        <f>TEXT(Table1[[#This Row],[Ship Date]],"yyyy")</f>
        <v>2024</v>
      </c>
    </row>
    <row r="71" spans="1:13" x14ac:dyDescent="0.3">
      <c r="A71">
        <v>1070</v>
      </c>
      <c r="B71" s="1">
        <v>45361</v>
      </c>
      <c r="C71" t="s">
        <v>60</v>
      </c>
      <c r="D71" s="1">
        <v>45363</v>
      </c>
      <c r="E71">
        <v>19.989999999999998</v>
      </c>
      <c r="F71">
        <v>1</v>
      </c>
      <c r="G71">
        <f t="shared" si="2"/>
        <v>19.989999999999998</v>
      </c>
      <c r="H71">
        <v>1.9990000000000001</v>
      </c>
      <c r="I71">
        <f t="shared" si="3"/>
        <v>20.99</v>
      </c>
      <c r="J71" t="s">
        <v>86</v>
      </c>
      <c r="K71" s="2" t="str">
        <f>TEXT(Table1[[#This Row],[Ship Date]],"dddd")</f>
        <v>Tuesday</v>
      </c>
      <c r="L71" t="str">
        <f>TEXT(Table1[[#This Row],[Ship Date]],"mmmm")</f>
        <v>March</v>
      </c>
      <c r="M71" t="str">
        <f>TEXT(Table1[[#This Row],[Ship Date]],"yyyy")</f>
        <v>2024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2D0B-7169-4684-8CBA-4FDED9D825AA}">
  <dimension ref="A1"/>
  <sheetViews>
    <sheetView zoomScale="120" zoomScaleNormal="120" workbookViewId="0">
      <selection activeCell="N25" sqref="N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DDAFC-5860-4D8F-8A0C-5CD4BB01309D}">
  <dimension ref="A1"/>
  <sheetViews>
    <sheetView zoomScale="120" zoomScaleNormal="120" workbookViewId="0">
      <selection activeCell="U9" sqref="U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DC2C1-D567-442F-845B-65057965788C}">
  <dimension ref="A1"/>
  <sheetViews>
    <sheetView zoomScale="120" zoomScaleNormal="120" workbookViewId="0">
      <selection activeCell="G25" sqref="G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B8C1-C747-45C2-A661-7CB08ED31B58}">
  <dimension ref="A1"/>
  <sheetViews>
    <sheetView tabSelected="1" zoomScale="120" zoomScaleNormal="120" workbookViewId="0">
      <selection activeCell="E26" sqref="E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Sheet3</vt:lpstr>
      <vt:lpstr>Sheet4</vt:lpstr>
      <vt:lpstr>Sheet5</vt:lpstr>
      <vt:lpstr>Sheet7</vt:lpstr>
      <vt:lpstr>Sheet1</vt:lpstr>
      <vt:lpstr>order analysis</vt:lpstr>
      <vt:lpstr>retail</vt:lpstr>
      <vt:lpstr>Revenue analysis</vt:lpstr>
      <vt:lpstr>sales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Shaw</dc:creator>
  <cp:lastModifiedBy>Ram Shaw</cp:lastModifiedBy>
  <dcterms:created xsi:type="dcterms:W3CDTF">2025-12-27T07:38:55Z</dcterms:created>
  <dcterms:modified xsi:type="dcterms:W3CDTF">2026-05-24T06:14:58Z</dcterms:modified>
</cp:coreProperties>
</file>